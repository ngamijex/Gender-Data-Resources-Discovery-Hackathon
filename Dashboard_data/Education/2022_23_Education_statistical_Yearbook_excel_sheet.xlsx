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NEDUC\Downloads\"/>
    </mc:Choice>
  </mc:AlternateContent>
  <bookViews>
    <workbookView xWindow="0" yWindow="0" windowWidth="8440" windowHeight="7760" tabRatio="847" activeTab="3"/>
  </bookViews>
  <sheets>
    <sheet name="TABLE OF CONTENTS" sheetId="11" r:id="rId1"/>
    <sheet name="OVERVIEW" sheetId="1" r:id="rId2"/>
    <sheet name="SCHOOL INFRASTRUCTURE" sheetId="2" r:id="rId3"/>
    <sheet name="LEARNERS" sheetId="3" r:id="rId4"/>
    <sheet name="SCHOOL  STAFF" sheetId="4" r:id="rId5"/>
    <sheet name="ICT, SCIENCE AND TECHNOLOGY" sheetId="5" r:id="rId6"/>
    <sheet name="BOOKS AND TEXTBOOKS" sheetId="6" r:id="rId7"/>
    <sheet name="ENERGY,WATER, AND SANITATION" sheetId="7" r:id="rId8"/>
    <sheet name="SCHOOL NUTRITION" sheetId="8" r:id="rId9"/>
    <sheet name="SPECIAL NEEDS EDUCATION" sheetId="9" r:id="rId10"/>
    <sheet name="ANNEXES" sheetId="10" r:id="rId11"/>
  </sheets>
  <definedNames>
    <definedName name="_ftn1" localSheetId="1">OVERVIEW!$B$14</definedName>
    <definedName name="_ftnref1" localSheetId="1">OVERVIEW!$B$5</definedName>
    <definedName name="_Hlk135037178" localSheetId="3">LEARNERS!$F$968</definedName>
    <definedName name="_Hlk135910797" localSheetId="3">LEARNERS!$B$439</definedName>
    <definedName name="_Hlk136271606" localSheetId="3">LEARNERS!$I$625</definedName>
    <definedName name="_Hlk136526796" localSheetId="8">'SCHOOL NUTRITION'!$B$14</definedName>
    <definedName name="_Toc135070642" localSheetId="1">OVERVIEW!$B$4</definedName>
    <definedName name="_Toc137742947" localSheetId="2">'SCHOOL INFRASTRUCTURE'!$B$496</definedName>
    <definedName name="_Toc137743006" localSheetId="2">'SCHOOL INFRASTRUCTURE'!$B$99</definedName>
    <definedName name="_Toc137743007" localSheetId="2">'SCHOOL INFRASTRUCTURE'!$B$111</definedName>
    <definedName name="_Toc137743008" localSheetId="2">'SCHOOL INFRASTRUCTURE'!$B$123</definedName>
    <definedName name="_Toc137743009" localSheetId="2">'SCHOOL INFRASTRUCTURE'!$B$135</definedName>
    <definedName name="_Toc137743010" localSheetId="2">'SCHOOL INFRASTRUCTURE'!$B$147</definedName>
    <definedName name="_Toc137743012" localSheetId="2">'SCHOOL INFRASTRUCTURE'!$B$174</definedName>
    <definedName name="_Toc137743014" localSheetId="2">'SCHOOL INFRASTRUCTURE'!$B$214</definedName>
    <definedName name="_Toc137743015" localSheetId="2">'SCHOOL INFRASTRUCTURE'!$B$234</definedName>
    <definedName name="_Toc137743016" localSheetId="2">'SCHOOL INFRASTRUCTURE'!$B$254</definedName>
    <definedName name="_Toc137743017" localSheetId="2">'SCHOOL INFRASTRUCTURE'!$B$298</definedName>
    <definedName name="_Toc137743018" localSheetId="2">'SCHOOL INFRASTRUCTURE'!$B$310</definedName>
    <definedName name="_Toc137743020" localSheetId="2">'SCHOOL INFRASTRUCTURE'!$B$334</definedName>
    <definedName name="_Toc137743022" localSheetId="2">'SCHOOL INFRASTRUCTURE'!$B$364</definedName>
    <definedName name="_Toc137743024" localSheetId="2">'SCHOOL INFRASTRUCTURE'!$B$394</definedName>
    <definedName name="_Toc137743025" localSheetId="2">'SCHOOL INFRASTRUCTURE'!$B$406</definedName>
    <definedName name="_Toc137743026" localSheetId="2">'SCHOOL INFRASTRUCTURE'!$B$424</definedName>
    <definedName name="_Toc137743028" localSheetId="2">'SCHOOL INFRASTRUCTURE'!$B$448</definedName>
    <definedName name="_Toc137743030" localSheetId="2">'SCHOOL INFRASTRUCTURE'!$B$472</definedName>
    <definedName name="_Toc137743032" localSheetId="2">'SCHOOL INFRASTRUCTURE'!$B$498</definedName>
    <definedName name="_Toc137743033" localSheetId="2">'SCHOOL INFRASTRUCTURE'!$B$520</definedName>
    <definedName name="_Toc137743034" localSheetId="3">LEARNERS!$B$6</definedName>
    <definedName name="_Toc137743035" localSheetId="3">LEARNERS!$B$24</definedName>
    <definedName name="_Toc137743036" localSheetId="3">LEARNERS!$B$45</definedName>
    <definedName name="_Toc137743039" localSheetId="3">LEARNERS!$B$99</definedName>
    <definedName name="_Toc137743040" localSheetId="3">LEARNERS!$B$117</definedName>
    <definedName name="_Toc137743042" localSheetId="3">LEARNERS!$B$152</definedName>
    <definedName name="_Toc137743043" localSheetId="3">LEARNERS!$B$171</definedName>
    <definedName name="_Toc137743045" localSheetId="3">LEARNERS!$B$209</definedName>
    <definedName name="_Toc137743046" localSheetId="3">LEARNERS!$B$229</definedName>
    <definedName name="_Toc137743047" localSheetId="3">LEARNERS!$B$251</definedName>
    <definedName name="_Toc137743048" localSheetId="3">LEARNERS!$B$251</definedName>
    <definedName name="_Toc137743049" localSheetId="3">LEARNERS!$B$277</definedName>
    <definedName name="_Toc137743050" localSheetId="3">LEARNERS!$B$298</definedName>
    <definedName name="_Toc137743052" localSheetId="3">LEARNERS!$B$358</definedName>
    <definedName name="_Toc137743055" localSheetId="3">LEARNERS!$B$426</definedName>
    <definedName name="_Toc137743056" localSheetId="3">LEARNERS!$B$455</definedName>
    <definedName name="_Toc137743058" localSheetId="3">LEARNERS!$B$489</definedName>
    <definedName name="_Toc137743059" localSheetId="3">LEARNERS!$B$504</definedName>
    <definedName name="_Toc137743063" localSheetId="3">LEARNERS!$B$578</definedName>
    <definedName name="_Toc137743064" localSheetId="3">LEARNERS!$B$591</definedName>
    <definedName name="_Toc137743066" localSheetId="3">LEARNERS!$B$619</definedName>
    <definedName name="_Toc137743073" localSheetId="3">LEARNERS!$B$703</definedName>
    <definedName name="_Toc137743074" localSheetId="3">LEARNERS!$B$716</definedName>
    <definedName name="_Toc137743090" localSheetId="3">LEARNERS!$B$927</definedName>
    <definedName name="_Toc137743092" localSheetId="3">LEARNERS!$B$953</definedName>
    <definedName name="_Toc137743094" localSheetId="3">LEARNERS!$B$985</definedName>
    <definedName name="_Toc137743095" localSheetId="3">LEARNERS!$B$1000</definedName>
    <definedName name="_Toc137743096" localSheetId="3">LEARNERS!$B$1015</definedName>
    <definedName name="_Toc137743098" localSheetId="3">LEARNERS!$B$1045</definedName>
    <definedName name="_Toc137743099" localSheetId="3">LEARNERS!$B$1060</definedName>
    <definedName name="_Toc137743100" localSheetId="3">LEARNERS!$B$1073</definedName>
    <definedName name="_Toc137743102" localSheetId="3">LEARNERS!$B$1101</definedName>
    <definedName name="_Toc137743105" localSheetId="3">LEARNERS!$B$1135</definedName>
    <definedName name="_Toc137743108" localSheetId="3">LEARNERS!$B$1188</definedName>
    <definedName name="_Toc137743114" localSheetId="4">'SCHOOL  STAFF'!$B$95</definedName>
    <definedName name="_Toc137743115" localSheetId="4">'SCHOOL  STAFF'!$B$113</definedName>
    <definedName name="_Toc137743116" localSheetId="4">'SCHOOL  STAFF'!$B$131</definedName>
    <definedName name="_Toc137743117" localSheetId="4">'SCHOOL  STAFF'!$B$149</definedName>
    <definedName name="_Toc137743118" localSheetId="4">'SCHOOL  STAFF'!$B$168</definedName>
    <definedName name="_Toc137743119" localSheetId="4">'SCHOOL  STAFF'!$B$186</definedName>
    <definedName name="_Toc137743120" localSheetId="4">'SCHOOL  STAFF'!$B$197</definedName>
    <definedName name="_Toc137743121" localSheetId="4">'SCHOOL  STAFF'!$B$215</definedName>
    <definedName name="_Toc137743122" localSheetId="4">'SCHOOL  STAFF'!$B$233</definedName>
    <definedName name="_Toc137743123" localSheetId="4">'SCHOOL  STAFF'!#REF!</definedName>
    <definedName name="_Toc137743128" localSheetId="4">'SCHOOL  STAFF'!$B$428</definedName>
    <definedName name="_Toc137743129" localSheetId="4">'SCHOOL  STAFF'!$B$445</definedName>
    <definedName name="_Toc137743130" localSheetId="4">'SCHOOL  STAFF'!$B$464</definedName>
    <definedName name="_Toc137743131" localSheetId="4">'SCHOOL  STAFF'!$B$480</definedName>
    <definedName name="_Toc137743133" localSheetId="4">'SCHOOL  STAFF'!$B$512</definedName>
    <definedName name="_Toc137743134" localSheetId="4">'SCHOOL  STAFF'!$B$528</definedName>
    <definedName name="_Toc137743135" localSheetId="4">'SCHOOL  STAFF'!$B$543</definedName>
    <definedName name="_Toc137743136" localSheetId="4">'SCHOOL  STAFF'!$B$553</definedName>
    <definedName name="_Toc137743139" localSheetId="4">'SCHOOL  STAFF'!$B$601</definedName>
    <definedName name="_Toc137743141" localSheetId="4">'SCHOOL  STAFF'!$B$617</definedName>
    <definedName name="_Toc137743142" localSheetId="4">'SCHOOL  STAFF'!$B$642</definedName>
    <definedName name="_Toc137743143" localSheetId="5">'ICT, SCIENCE AND TECHNOLOGY'!$B$6</definedName>
    <definedName name="_Toc137743153" localSheetId="5">'ICT, SCIENCE AND TECHNOLOGY'!$B$165</definedName>
    <definedName name="_Toc137743154" localSheetId="5">'ICT, SCIENCE AND TECHNOLOGY'!$B$181</definedName>
    <definedName name="_Toc137743160" localSheetId="6">'BOOKS AND TEXTBOOKS'!$B$90</definedName>
    <definedName name="_Toc137743161" localSheetId="6">'BOOKS AND TEXTBOOKS'!$B$110</definedName>
    <definedName name="_Toc137743166" localSheetId="7">'ENERGY,WATER, AND SANITATION'!$B$65</definedName>
    <definedName name="_Toc137743169" localSheetId="7">'ENERGY,WATER, AND SANITATION'!$B$124</definedName>
    <definedName name="_Toc137743171" localSheetId="7">'ENERGY,WATER, AND SANITATION'!$B$164</definedName>
    <definedName name="_Toc137743172" localSheetId="7">'ENERGY,WATER, AND SANITATION'!$B$183</definedName>
    <definedName name="_Toc137743173" localSheetId="8">'SCHOOL NUTRITION'!$B$7</definedName>
    <definedName name="_Toc137743174" localSheetId="8">'SCHOOL NUTRITION'!$B$40</definedName>
    <definedName name="_Toc137743176" localSheetId="8">'SCHOOL NUTRITION'!$B$95</definedName>
    <definedName name="_Toc137743177" localSheetId="9">'SPECIAL NEEDS EDUCATION'!$B$6</definedName>
    <definedName name="_Toc137743178" localSheetId="9">'SPECIAL NEEDS EDUCATION'!$B$25</definedName>
    <definedName name="_Toc137743180" localSheetId="9">'SPECIAL NEEDS EDUCATION'!$B$47</definedName>
    <definedName name="_Toc137743186" localSheetId="9">'SPECIAL NEEDS EDUCATION'!$B$158</definedName>
    <definedName name="_Toc137743187" localSheetId="9">'SPECIAL NEEDS EDUCATION'!#REF!</definedName>
    <definedName name="_Toc137743188" localSheetId="9">'SPECIAL NEEDS EDUCATION'!$B$177</definedName>
    <definedName name="_Toc137743190" localSheetId="9">'SPECIAL NEEDS EDUCATION'!$B$218</definedName>
    <definedName name="_Toc137743191" localSheetId="9">'SPECIAL NEEDS EDUCATION'!$B$239</definedName>
    <definedName name="_Toc137743193" localSheetId="10">ANNEXES!$B$4</definedName>
    <definedName name="_Toc137743195" localSheetId="10">ANNEXES!$B$84</definedName>
    <definedName name="_Toc137743197" localSheetId="10">ANNEXES!$B$164</definedName>
    <definedName name="_Toc137743199" localSheetId="10">ANNEXES!$B$244</definedName>
    <definedName name="_Toc137743201" localSheetId="10">ANNEXES!$B$324</definedName>
    <definedName name="_Toc137743202" localSheetId="10">ANNEXES!$B$364</definedName>
    <definedName name="_Toc137743209" localSheetId="10">ANNEXES!$B$650</definedName>
    <definedName name="_Toc137743211" localSheetId="10">ANNEXES!$B$721</definedName>
    <definedName name="_Toc137743212" localSheetId="10">ANNEXES!$B$752</definedName>
    <definedName name="_Toc137743214" localSheetId="10">ANNEXES!$B$834</definedName>
    <definedName name="_Toc137743215" localSheetId="10">ANNEXES!#REF!</definedName>
    <definedName name="_Toc137743216" localSheetId="10">ANNEXES!$B$916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9" i="4" l="1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298" i="4"/>
  <c r="F111" i="9" l="1"/>
  <c r="G28" i="9"/>
  <c r="H143" i="5"/>
  <c r="D24" i="1" l="1"/>
  <c r="H390" i="4" l="1"/>
  <c r="H367" i="4"/>
  <c r="G367" i="4"/>
  <c r="H344" i="4"/>
  <c r="H321" i="4"/>
  <c r="E604" i="10"/>
  <c r="E603" i="10"/>
  <c r="E602" i="10"/>
  <c r="E600" i="10"/>
  <c r="E599" i="10"/>
  <c r="E598" i="10"/>
  <c r="E597" i="10"/>
  <c r="E596" i="10"/>
  <c r="E594" i="10"/>
  <c r="E593" i="10"/>
  <c r="E592" i="10"/>
  <c r="E591" i="10"/>
  <c r="E590" i="10"/>
  <c r="E589" i="10"/>
  <c r="E588" i="10"/>
  <c r="E586" i="10"/>
  <c r="E585" i="10"/>
  <c r="E584" i="10"/>
  <c r="E583" i="10"/>
  <c r="E582" i="10"/>
  <c r="E581" i="10"/>
  <c r="E580" i="10"/>
  <c r="E578" i="10"/>
  <c r="E577" i="10"/>
  <c r="E576" i="10"/>
  <c r="E575" i="10"/>
  <c r="E574" i="10"/>
  <c r="E573" i="10"/>
  <c r="E572" i="10"/>
  <c r="E571" i="10"/>
  <c r="C9" i="11"/>
  <c r="C8" i="11"/>
  <c r="D57" i="11" l="1"/>
  <c r="C7" i="11"/>
  <c r="C6" i="11"/>
</calcChain>
</file>

<file path=xl/sharedStrings.xml><?xml version="1.0" encoding="utf-8"?>
<sst xmlns="http://schemas.openxmlformats.org/spreadsheetml/2006/main" count="5850" uniqueCount="1708">
  <si>
    <t>TABLE OF CONTENTS</t>
  </si>
  <si>
    <t>GENERAL OVERVIEW </t>
  </si>
  <si>
    <t>1. SCHOOL INFRASTRUCTURE </t>
  </si>
  <si>
    <t>1.1 Number of schools by levels of education and schools’ settings </t>
  </si>
  <si>
    <t>Table 1.1.1: Number of schools by level of education </t>
  </si>
  <si>
    <t>Table 1.1.2: Number of preprimary, primary, secondary and TVET L1-L5 schools  </t>
  </si>
  <si>
    <t>Table 1.1.3: School settings with preprimary level </t>
  </si>
  <si>
    <t>Table 1.1.4: School settings with primary level </t>
  </si>
  <si>
    <t>Table 1.1.5: School settings with General and professional secondary </t>
  </si>
  <si>
    <t>Table 1.1.6: School settings with TVET L1 to L5 </t>
  </si>
  <si>
    <t>1.2 Number of schools by schools’ status </t>
  </si>
  <si>
    <t>Table 1.2.2: Number of Schools with Pre-primary level, by schools’ status </t>
  </si>
  <si>
    <t>Table 1.2.3: Number of schools with Primary level by school’ status </t>
  </si>
  <si>
    <t>Table 1.2.4: Number of schools with gen. and prof. secondary Level, by school’ status  </t>
  </si>
  <si>
    <t>Table 1.2.5: Number of schools with TVET L1 to L5, by school’ status </t>
  </si>
  <si>
    <t>Table 1.2.6: Number of Higher education institutions </t>
  </si>
  <si>
    <t>Table 1.2.7: Number of adult literacy centers </t>
  </si>
  <si>
    <t>1.3 Number of schools by owner </t>
  </si>
  <si>
    <t>Table 1.3.1: Number of schools with preprimary level by owner</t>
  </si>
  <si>
    <t>Table 1.3.2: Number of schools with primary level by owner</t>
  </si>
  <si>
    <t xml:space="preserve">Table 1.3.3: Number of Gen. and prof. secondary schools by owner </t>
  </si>
  <si>
    <t>Table 1.3.4: Number of schools with TVET level by owner</t>
  </si>
  <si>
    <t>Table 1.3.5: Number of adult literacy centers by owner</t>
  </si>
  <si>
    <t>1.4 Classrooms in use and classes in school </t>
  </si>
  <si>
    <t>Table 1.4.1: Total number of classrooms in use, by schools ‘status </t>
  </si>
  <si>
    <t>Table 1.4.2: Number of Preprimary classrooms, by schools 'status </t>
  </si>
  <si>
    <t>Table 1.4.3 : Number of primary classrooms in use by school status </t>
  </si>
  <si>
    <t>Table 1.4.4: Number of primary school classes by school status </t>
  </si>
  <si>
    <t>Table 1.4.5: Number of primary classrooms in use per grade </t>
  </si>
  <si>
    <t>Table 1.4.6: Number of gen. and prof. secondary classrooms in use </t>
  </si>
  <si>
    <t>Table 1.4.7: Number of gen. and prof. secondary classrooms per grade </t>
  </si>
  <si>
    <t>Table 1.4.8: Number of TVET classrooms for level I to 5 </t>
  </si>
  <si>
    <t>Table 1.4.9: Number of TVET’ classrooms per level </t>
  </si>
  <si>
    <t>1.5 Number of desks in school </t>
  </si>
  <si>
    <t>Table 1.5.1: Total number of desks, by schools’ status </t>
  </si>
  <si>
    <t>Table 1.5.2: Number of Preprimary desks, by schools’ status </t>
  </si>
  <si>
    <t>Table 1.5.3: Number of primary desks by school status </t>
  </si>
  <si>
    <t>Table 1.5.4: Number of gen. and prof. secondary desks </t>
  </si>
  <si>
    <t>Table 1.5.5: Number of TVET desks for level I to 5 </t>
  </si>
  <si>
    <t>Table 1.5.6: Number of Adult literacy desks </t>
  </si>
  <si>
    <t>1.6. Sport facilities in school</t>
  </si>
  <si>
    <t>Table 1.6.1: Game and materials for Pre-Primary level in 2021/22</t>
  </si>
  <si>
    <t>Table 1.6.2: Sport facilities in primary and secondary schools in 2021/22</t>
  </si>
  <si>
    <t>2. LEARNERS </t>
  </si>
  <si>
    <t xml:space="preserve">2.1. Number of learners per school status </t>
  </si>
  <si>
    <t>Table 2.1.1: Number of total learners in Rwanda education system </t>
  </si>
  <si>
    <t>Table 2.1.3: Number of preprimary pupils</t>
  </si>
  <si>
    <t>Table 2.1.4: Primary school pupils by school status</t>
  </si>
  <si>
    <t>Table 2.1.5: Number of lower secondary students</t>
  </si>
  <si>
    <t>Table 2.1.6: Number of general and professional upper secondary students</t>
  </si>
  <si>
    <t>Table 2.1.7: Total TVET trainees in level I to 5</t>
  </si>
  <si>
    <t>Table 2.1.8: Number of students in TVET schools and accounting</t>
  </si>
  <si>
    <t>Table 2.1.9: Higher education Institution students</t>
  </si>
  <si>
    <t>Table 2.1.10: Students enrolled in Polytechnics</t>
  </si>
  <si>
    <t>Table 2.1.11: Students enrolled in General Higher Education</t>
  </si>
  <si>
    <t>Table 2.1.12: Learners in adult literacy centers</t>
  </si>
  <si>
    <t>2.2 Number of learners per grade </t>
  </si>
  <si>
    <t>Table 2.2.1: Enrolled primary school pupils by grade </t>
  </si>
  <si>
    <t>Table 2.2.2: Lower secondary school student’s enrolment </t>
  </si>
  <si>
    <t>Table 2.2.3: General and professional upper secondary school student’s enrolment </t>
  </si>
  <si>
    <t>Table 2.2.4: Total number of TVET trainees </t>
  </si>
  <si>
    <t>Table 2.2.5: TVET trainee’s enrolment from level 1 to 5 </t>
  </si>
  <si>
    <t xml:space="preserve">2.3 Learners by specialization </t>
  </si>
  <si>
    <t>Table 2.3.1: Upper secondary students by learning area </t>
  </si>
  <si>
    <t>Table 2.3.2: Upper secondary students per learning area in 2021/22 </t>
  </si>
  <si>
    <t>Table 2.3.3: Proportion of upper secondary students per grade in 2021/22 </t>
  </si>
  <si>
    <t>Table 2.3.4: Higher education students enrolled by field of education. </t>
  </si>
  <si>
    <t>Table 2.3.5: TVET short courses trainees by type of intervention </t>
  </si>
  <si>
    <t>2.4 Science Technology Engineering and Mathematics students </t>
  </si>
  <si>
    <t>Table 2.4.1: STEM students enrolled in upper secondary </t>
  </si>
  <si>
    <t>Table 2.4.2: Percentage of STEM students enrolled in upper secondary </t>
  </si>
  <si>
    <t>Table 2.4.3: STEM students enrolled in Higher education </t>
  </si>
  <si>
    <t>Table 2.4.4: Percentage of STEM students enrolled in Higher education </t>
  </si>
  <si>
    <t>2.5 Learners by age </t>
  </si>
  <si>
    <t>Table 2.5.1: Number of enrolled learners in 2021/22 per age group and level of education  </t>
  </si>
  <si>
    <t>Table 2.5.2: Number of over-age learners for grade </t>
  </si>
  <si>
    <t>Table 2.5.3: Percentage of children over-age for grade </t>
  </si>
  <si>
    <t>Table 2.5.4: People aged 3-22 in school and out of school by official school age </t>
  </si>
  <si>
    <t>Table 2.5.5: Participation rate for children aged 3 - 6 years </t>
  </si>
  <si>
    <t>Table 2.5.6: Participation rate for people aged 6-18 </t>
  </si>
  <si>
    <t>Table 2.5.7: Participation rate for people aged  3- 23 </t>
  </si>
  <si>
    <t xml:space="preserve">2.6 Gross and net enrolment rate </t>
  </si>
  <si>
    <t>Table 2.6.1: National average for Gross and Net enrolment rate </t>
  </si>
  <si>
    <t>Table 2.6.2: Preprimary Gross and Net enrollment rate </t>
  </si>
  <si>
    <t>Table 2.6.3: Primary Gross and Net enrollment rate </t>
  </si>
  <si>
    <t>Table 2.6.4: Secondary Gross and Net enrollment rate </t>
  </si>
  <si>
    <t>Table 2.6.5: Lower secondary Gross and Net enrollment rate </t>
  </si>
  <si>
    <t>Table 2.6.6: Upper secondary Gross and Net enrollment rate </t>
  </si>
  <si>
    <t>Table 2.6.7: Higher education GER and students per 100,000 inhabitants </t>
  </si>
  <si>
    <t>Table 2.6.8: Gender parity index in enrollment </t>
  </si>
  <si>
    <t xml:space="preserve">2.7 Gross and net intake rate </t>
  </si>
  <si>
    <t>Table 2.7.1: Primary Gross and Net intake rate </t>
  </si>
  <si>
    <t>Table 2.7.2: Gross and Net Intake rate in S1 </t>
  </si>
  <si>
    <t>Table 2.7.3: Gross and Net Intake rate in S3  </t>
  </si>
  <si>
    <t>Table 2.7.4: Gross and Net Intake rate in S6 </t>
  </si>
  <si>
    <t xml:space="preserve">2.8 Internal efficiency </t>
  </si>
  <si>
    <t>Table 2.8.1: Proportion of P1 students who reach S6 within 12 years.  </t>
  </si>
  <si>
    <t>Table 2.8.2: Proportion of P1 students who reach P6 within 6 years.  </t>
  </si>
  <si>
    <t>Table 2.8.3: Proportion of S1 students who reach S6 within 6 years.  </t>
  </si>
  <si>
    <t xml:space="preserve">2.9 Promotion, repetition and dropout rate </t>
  </si>
  <si>
    <t>Table 2.9.1: National average for Promotion, repetition, and dropout rate </t>
  </si>
  <si>
    <t>Table 2.9.2: Promotion, repetition, and dropout rate in primary schools </t>
  </si>
  <si>
    <t>Table 2.9.3: Promotion, repetition, and dropout rate in secondary schools </t>
  </si>
  <si>
    <t>Table 2.9.4: Promotion, repetition, and dropout rate in lower secondary schools </t>
  </si>
  <si>
    <t>Table 2.9.5: Promotion, repetition, and dropout rate in upper secondary schools </t>
  </si>
  <si>
    <t xml:space="preserve">2.10 Number of students completing the level </t>
  </si>
  <si>
    <t>Table 2.10.1: National examination results for Primary (P6) </t>
  </si>
  <si>
    <t>Table 2.10.2: National examination results for lower secondary (S3) </t>
  </si>
  <si>
    <t>Table 2.10.3: Upper secondary national examination results </t>
  </si>
  <si>
    <t>Table 2.10.4: General upper secondary national examination results (S6) </t>
  </si>
  <si>
    <t>Table 2.10.5: National examination results in TTCs (Y3) </t>
  </si>
  <si>
    <t>Table 2.10.6: National examination results in TVET(L5) </t>
  </si>
  <si>
    <t>Table 2.10.7: Number of Higher education graduates </t>
  </si>
  <si>
    <t>Table 2.10.8: Polytechnics graduates </t>
  </si>
  <si>
    <t>Table 2.10.9: General Higher Education graduates </t>
  </si>
  <si>
    <t>Table 2.10.10: Higher education graduates by exit award </t>
  </si>
  <si>
    <t>Table 2.10.11: Higher education graduates by fields of education </t>
  </si>
  <si>
    <t>Table 2.10.12:  STEM graduates in Higher education institutions </t>
  </si>
  <si>
    <t>Table 2.10.13: Percentage of STEM graduates in Higher education institutions </t>
  </si>
  <si>
    <t>Table 2.10.14: Adult Literacy learners who received their certificates. </t>
  </si>
  <si>
    <t xml:space="preserve">2.11 Students transitioning to the next level </t>
  </si>
  <si>
    <t>Table 2.11.1: Primary one newly admitted pupil of which attended pre-primary </t>
  </si>
  <si>
    <t>Table 2.11.2: Transition rate from primary to lower secondary </t>
  </si>
  <si>
    <t>Table 2.11.3: Transition rate from lower to upper secondary </t>
  </si>
  <si>
    <t>Table 2.11.4: Percentage of students enrolled in TVET L3 after passing S3 National Exam </t>
  </si>
  <si>
    <t>Table 2.11.5: Transition rate from secondary to Higher education </t>
  </si>
  <si>
    <t xml:space="preserve">2.12 Learners’ accommodation </t>
  </si>
  <si>
    <t>Table 2.12.1: Boarding and non-boarding students in secondary and TVET level </t>
  </si>
  <si>
    <t>Table 2.12.2: Number of boarding students in Gen. and prof secondary </t>
  </si>
  <si>
    <t>Table 2.12.3: Number of boarding students in TVET level 1 to 5 </t>
  </si>
  <si>
    <t>3. SCHOOL STAFF </t>
  </si>
  <si>
    <t>3.1 School staff per school status </t>
  </si>
  <si>
    <t>Table 3.1.1: Number of total school staff in Rwanda education system </t>
  </si>
  <si>
    <t>Table 3.1.2: Number of total school staff in Preprimary, Primary, Secondary and TVET L1-L5 </t>
  </si>
  <si>
    <t>Table 3.1.3: Number of Higher education staff </t>
  </si>
  <si>
    <t>3.2 Teaching staff per school status </t>
  </si>
  <si>
    <t>Table 3.2.1: Teaching staff in Preprimary, primary, secondary, TVET L1-L5</t>
  </si>
  <si>
    <t>Table 3.2.2: Pre-primary school teaching staff by school's status</t>
  </si>
  <si>
    <t>Table 3.2.3: Primary school teaching staff by school status</t>
  </si>
  <si>
    <t>Table 3.2.4: Number of Gen. and Prof. secondary teaching staff by school status</t>
  </si>
  <si>
    <t>Table 3.2.5: Number of TVET L1 to L5 teaching staff by school status</t>
  </si>
  <si>
    <t>Table 3.2.6: Number of Higher education academic staff</t>
  </si>
  <si>
    <t>Table 3.2.7: Instructors in adult literacy centers</t>
  </si>
  <si>
    <t>Table 3.2.8: Pupil teacher ratio</t>
  </si>
  <si>
    <t>3.3 Administrative staff per school status </t>
  </si>
  <si>
    <t>Table 3.3.1: Total Number of administrative staff in education system   </t>
  </si>
  <si>
    <t>Table 3.3.2: Administrative staff in Preprimary, primary, secondary and TVET L1 to L5  </t>
  </si>
  <si>
    <t>Table 3.3.3: Number of administrative staff in Higher education institutions </t>
  </si>
  <si>
    <t>3.4 School staff by qualification </t>
  </si>
  <si>
    <t>3.5 Qualified teaching staff</t>
  </si>
  <si>
    <t>Table 3.5.1: Qualified teaching staff in Preprimary education </t>
  </si>
  <si>
    <t>Table 3.5.2: Qualified teaching staff in primary education </t>
  </si>
  <si>
    <t>Table 3.5.3: Qualified teaching staff in gen. and prof. secondary education </t>
  </si>
  <si>
    <t>Table 3.5.4: Qualified teaching staff in TVET education </t>
  </si>
  <si>
    <t>Table 3.5.5: PhD holders among academic staff in Higher education </t>
  </si>
  <si>
    <t>Table 3.5.6: Pupil qualified teacher ratio </t>
  </si>
  <si>
    <t>3.6 Trained teaching staff  </t>
  </si>
  <si>
    <t>Table 3.6.1: Trained teachers in Preprimary education</t>
  </si>
  <si>
    <t>Table 3.6.2: Trained teaching staff in Primary education</t>
  </si>
  <si>
    <t>Table 3.6.3: Trained teaching staff in Gen. and prof. Secondary education</t>
  </si>
  <si>
    <t>Table 3.6.4: Trained teaching staff in TVET</t>
  </si>
  <si>
    <t>Table 3.6.5: Number of adult literacy instructors who received in service training</t>
  </si>
  <si>
    <t>Table 3.6.6: Pupil trained teacher ratio</t>
  </si>
  <si>
    <t>Table 3.6.7: Gender parity index in percentage of trained teacher</t>
  </si>
  <si>
    <t>4. ICT, SCIENCE AND TECHNOLOGY  </t>
  </si>
  <si>
    <t>4.1 Use of ICT in schools </t>
  </si>
  <si>
    <t>Table 4.1.1: Use of ICT for teaching and learning </t>
  </si>
  <si>
    <t> 4.2 ICT, Science, and Technology facilities </t>
  </si>
  <si>
    <t>Table 4.2.1: Smart classrooms in schools </t>
  </si>
  <si>
    <t>Table 4.2.2: Computer laboratories in schools </t>
  </si>
  <si>
    <t>Table 4.2.3: Number of secondary schools with science laboratories </t>
  </si>
  <si>
    <t>Table 4.2.4: Internet connectivity in schools </t>
  </si>
  <si>
    <t> 4.3 ICT, Science, and technology equipment </t>
  </si>
  <si>
    <t>Table 4.3.1: Science kits in schools </t>
  </si>
  <si>
    <t>Table 4.3.2: Projectors in schools </t>
  </si>
  <si>
    <t>Table 4.3.3:Smartboard in schools </t>
  </si>
  <si>
    <t>4.4 Computers </t>
  </si>
  <si>
    <t>Table 4.4.1: Total number of computers </t>
  </si>
  <si>
    <t>Table 4.4.2: Computers for learners </t>
  </si>
  <si>
    <t>Table 4.4.3: Computers for teaching/academic staff </t>
  </si>
  <si>
    <t>Table 4.4.4: Computers for administrative staff </t>
  </si>
  <si>
    <t>Table 4.4.5: Availability of computers to schools </t>
  </si>
  <si>
    <t>5. BOOKS AND TEXTBOOKS  </t>
  </si>
  <si>
    <t>5.1 Books in use by learners </t>
  </si>
  <si>
    <t>Table 5.1.1: Students books in preprimary schools by subject </t>
  </si>
  <si>
    <t>Table 5.1.2: Books in use by primary students by subject </t>
  </si>
  <si>
    <t>Table 5.1.3: Pupil: book ratio in lower secondary students by subject </t>
  </si>
  <si>
    <t>Table 5.1.4: Students books in science combinations by Subject </t>
  </si>
  <si>
    <t>Table 5.1.5: Students books in humanities combinations by subject </t>
  </si>
  <si>
    <t>Table 5.1.6: Students books in Language’s combinations by subject </t>
  </si>
  <si>
    <t>Table 5.1.7: Students books in TTC’s combinations by subject </t>
  </si>
  <si>
    <t>6. ENERGY, WATER AND SANITATION </t>
  </si>
  <si>
    <t>6.1 On grid electricity </t>
  </si>
  <si>
    <t>Table 6.1.1: On grid electricity in schools </t>
  </si>
  <si>
    <t xml:space="preserve">6.2 Off grid electricity </t>
  </si>
  <si>
    <t>Table 6.2.1: Solar power in schools </t>
  </si>
  <si>
    <t>Table 6.2.2: Electric power generator in schools </t>
  </si>
  <si>
    <t>Table 6.2.3: Biogas system in schools </t>
  </si>
  <si>
    <t xml:space="preserve">6.3 Water </t>
  </si>
  <si>
    <t>Table 6.3.1: Tap water supply in schools. </t>
  </si>
  <si>
    <t>Table 6.3.2: Safe drinking water in schools </t>
  </si>
  <si>
    <t>Table 6.3.3: Rainwater harvesting system in schools.</t>
  </si>
  <si>
    <t xml:space="preserve">6.4 Sanitation </t>
  </si>
  <si>
    <t>Table 6.4.1: Availability of handwashing </t>
  </si>
  <si>
    <t>Table 6.4.2: Availability of single sex toilets</t>
  </si>
  <si>
    <t>Table 6.4.3: Toilets in Preprimary, Primary Secondary and TVET schools</t>
  </si>
  <si>
    <t>7. SCHOOL NUTRITION  </t>
  </si>
  <si>
    <t xml:space="preserve">7.1 Learners fed at school  </t>
  </si>
  <si>
    <t>Table 7.1.1: Number of learners fed at schools </t>
  </si>
  <si>
    <t>7.2 School nutrition facilities and equipment </t>
  </si>
  <si>
    <t>Table 7.2.1: Number of schools providing meals to students </t>
  </si>
  <si>
    <t>8. SPECIAL NEEDS EDUCATION</t>
  </si>
  <si>
    <t xml:space="preserve">8.1 Adapted facilities for learners with special needs  </t>
  </si>
  <si>
    <t>Table 8.1.1: Adapted infrastructure and materials for learners with disability  </t>
  </si>
  <si>
    <t>Table 8.1.2: Accessible toilets for people with disability </t>
  </si>
  <si>
    <t>Table 8.1.3: Availability of girls’ room </t>
  </si>
  <si>
    <t xml:space="preserve">8.2 Staff trained in special needs and inclusive education. </t>
  </si>
  <si>
    <t>Table 8.2.1: Total Staff trained in special needs and inclusive education. </t>
  </si>
  <si>
    <t>Table 8.2.2: Teaching staff trained in special needs and inclusive education </t>
  </si>
  <si>
    <t xml:space="preserve">8.3 Learners with disability </t>
  </si>
  <si>
    <t>Table 8.3.1: Total number of learners with disability </t>
  </si>
  <si>
    <t xml:space="preserve">8.4 Refugee students </t>
  </si>
  <si>
    <t>Table 8.4.1: Number of Refugee students by levels of education</t>
  </si>
  <si>
    <t>Table 8.4.2: Number of Refugee students by school status</t>
  </si>
  <si>
    <t xml:space="preserve">8.5 Orphan students </t>
  </si>
  <si>
    <t>Table 8.5.1: Number of orphans learners by level of education</t>
  </si>
  <si>
    <t>Table 8.5.2: Number of orphan learners by schools’ status</t>
  </si>
  <si>
    <t xml:space="preserve">8.1 Students in correctional centers </t>
  </si>
  <si>
    <t>Table 8.6.1: Learners in correctional centers </t>
  </si>
  <si>
    <t>ANNEX </t>
  </si>
  <si>
    <t>Annex 1: Number of schools with Preprimary level by district</t>
  </si>
  <si>
    <t>Annex 2: Number of schools with Primary level by district</t>
  </si>
  <si>
    <t>Annex 3: Number of schools with general &amp; professional secondary level by district</t>
  </si>
  <si>
    <t>Annex 4: Number of schools with TVET L1 to 5 by district</t>
  </si>
  <si>
    <t>Annex 5: Number of Higher education campuses per districts</t>
  </si>
  <si>
    <t>Annex 6: Number of Adult literacy centers by district</t>
  </si>
  <si>
    <t>Annex 7: Number of classrooms in use in Preprimary by district</t>
  </si>
  <si>
    <t>Annex 8: Number of classrooms in use in Primary by district</t>
  </si>
  <si>
    <t>Annex 9: Number of classrooms in use in general and professional secondary</t>
  </si>
  <si>
    <t>Annex 10: Number of classrooms in use in TVET L1 to L5 by district</t>
  </si>
  <si>
    <t>Annex 11: Number of Preprimary pupils per district</t>
  </si>
  <si>
    <t>Annex 12: Number of enrolled Primary pupils by District</t>
  </si>
  <si>
    <t>Annex 13: Number of students in general secondary schools by district</t>
  </si>
  <si>
    <t>Annex 14: Number of TVET L1 to L5 Trainees by district</t>
  </si>
  <si>
    <t>Annex 15: Number of Higher education students per districts</t>
  </si>
  <si>
    <t>Annex 16: Number of adult literacy learners by district</t>
  </si>
  <si>
    <t>Annex 17: Promotion rate by grade</t>
  </si>
  <si>
    <t>Annex 18:Repetition rate per grade</t>
  </si>
  <si>
    <t>Annex 19: Dropout rate per grade</t>
  </si>
  <si>
    <t>Annex 20: Number of Preprimary Teaching staff per district</t>
  </si>
  <si>
    <t>Annex 21: Number of Primary Teaching staff by District</t>
  </si>
  <si>
    <t>Annex 22: Number Teaching staff in general secondary by district</t>
  </si>
  <si>
    <t>Annex 23: Number of TVET L1 to L5 Teaching staff by district</t>
  </si>
  <si>
    <t>Annex 24: Number of Adult literacy instructors by district</t>
  </si>
  <si>
    <t>Overview 1: Number of schools by level of education</t>
  </si>
  <si>
    <t>Schools*</t>
  </si>
  <si>
    <t>2021/22</t>
  </si>
  <si>
    <t>2022/23</t>
  </si>
  <si>
    <t>Schools with Preprimary level</t>
  </si>
  <si>
    <t>Schools with Primary level</t>
  </si>
  <si>
    <t>Schools with General and professional secondary level</t>
  </si>
  <si>
    <t>Schools with TVET L1_L5</t>
  </si>
  <si>
    <t>Polytechnics</t>
  </si>
  <si>
    <t>General Higher education</t>
  </si>
  <si>
    <t>Adult Literacy</t>
  </si>
  <si>
    <r>
      <t>Source</t>
    </r>
    <r>
      <rPr>
        <i/>
        <sz val="10"/>
        <color rgb="FF000000"/>
        <rFont val="Roboto Condensed"/>
      </rPr>
      <t>: School census, Ministry of Education</t>
    </r>
  </si>
  <si>
    <t>*Caution should be taken for not summing up number of schools in this table, because one school can have different levels.</t>
  </si>
  <si>
    <r>
      <t xml:space="preserve">Overview </t>
    </r>
    <r>
      <rPr>
        <b/>
        <sz val="12"/>
        <color rgb="FF000000"/>
        <rFont val="Roboto Condensed"/>
      </rPr>
      <t>2</t>
    </r>
    <r>
      <rPr>
        <b/>
        <sz val="12"/>
        <rFont val="Roboto Condensed"/>
      </rPr>
      <t>: Number of classrooms in use </t>
    </r>
  </si>
  <si>
    <r>
      <t>Levels </t>
    </r>
    <r>
      <rPr>
        <sz val="12"/>
        <color rgb="FF000000"/>
        <rFont val="Roboto Condensed"/>
        <charset val="1"/>
      </rPr>
      <t> </t>
    </r>
  </si>
  <si>
    <r>
      <t>2021/22 </t>
    </r>
    <r>
      <rPr>
        <sz val="12"/>
        <color rgb="FF000000"/>
        <rFont val="Roboto Condensed"/>
        <charset val="1"/>
      </rPr>
      <t> </t>
    </r>
  </si>
  <si>
    <r>
      <t>2022/23</t>
    </r>
    <r>
      <rPr>
        <sz val="12"/>
        <color rgb="FF000000"/>
        <rFont val="Roboto Condensed"/>
        <charset val="1"/>
      </rPr>
      <t> </t>
    </r>
  </si>
  <si>
    <t>Preprimary </t>
  </si>
  <si>
    <t>Primary </t>
  </si>
  <si>
    <t>Lower secondary </t>
  </si>
  <si>
    <t>General and professional upper secondary </t>
  </si>
  <si>
    <t>TVET L1_L2 </t>
  </si>
  <si>
    <t>TVET L3_L5 </t>
  </si>
  <si>
    <r>
      <t>Total </t>
    </r>
    <r>
      <rPr>
        <sz val="12"/>
        <color rgb="FF000000"/>
        <rFont val="Roboto Condensed"/>
        <charset val="1"/>
      </rPr>
      <t> </t>
    </r>
  </si>
  <si>
    <r>
      <t>Source</t>
    </r>
    <r>
      <rPr>
        <i/>
        <sz val="10"/>
        <color rgb="FF000000"/>
        <rFont val="Roboto Condensed"/>
      </rPr>
      <t>: School census, Ministry of Education</t>
    </r>
    <r>
      <rPr>
        <sz val="10"/>
        <color rgb="FF000000"/>
        <rFont val="Roboto Condensed"/>
      </rPr>
      <t> </t>
    </r>
  </si>
  <si>
    <r>
      <t xml:space="preserve">Overview </t>
    </r>
    <r>
      <rPr>
        <b/>
        <sz val="12"/>
        <color rgb="FF000000"/>
        <rFont val="Roboto Condensed"/>
      </rPr>
      <t>3</t>
    </r>
    <r>
      <rPr>
        <b/>
        <sz val="12"/>
        <rFont val="Roboto Condensed"/>
      </rPr>
      <t>: Number of learners</t>
    </r>
  </si>
  <si>
    <r>
      <t>Levels of education</t>
    </r>
    <r>
      <rPr>
        <sz val="12"/>
        <color rgb="FF000000"/>
        <rFont val="Roboto Condensed"/>
        <charset val="1"/>
      </rPr>
      <t> </t>
    </r>
  </si>
  <si>
    <r>
      <t>Preprimary</t>
    </r>
    <r>
      <rPr>
        <sz val="11"/>
        <color rgb="FF000000"/>
        <rFont val="Roboto Condensed"/>
        <charset val="1"/>
      </rPr>
      <t> </t>
    </r>
  </si>
  <si>
    <r>
      <t>Primary</t>
    </r>
    <r>
      <rPr>
        <sz val="11"/>
        <color rgb="FF000000"/>
        <rFont val="Roboto Condensed"/>
        <charset val="1"/>
      </rPr>
      <t> </t>
    </r>
  </si>
  <si>
    <r>
      <t>Lower Secondary</t>
    </r>
    <r>
      <rPr>
        <sz val="11"/>
        <color rgb="FF000000"/>
        <rFont val="Roboto Condensed"/>
        <charset val="1"/>
      </rPr>
      <t> </t>
    </r>
  </si>
  <si>
    <r>
      <t>Upper secondary</t>
    </r>
    <r>
      <rPr>
        <sz val="11"/>
        <color rgb="FF000000"/>
        <rFont val="Roboto Condensed"/>
        <charset val="1"/>
      </rPr>
      <t> </t>
    </r>
  </si>
  <si>
    <r>
      <t>General upper secondary</t>
    </r>
    <r>
      <rPr>
        <sz val="11"/>
        <color rgb="FF000000"/>
        <rFont val="Roboto Condensed"/>
        <charset val="1"/>
      </rPr>
      <t> </t>
    </r>
  </si>
  <si>
    <t>Sciences </t>
  </si>
  <si>
    <t>Humanities </t>
  </si>
  <si>
    <t>Languages </t>
  </si>
  <si>
    <r>
      <t>Professional upper secondary</t>
    </r>
    <r>
      <rPr>
        <sz val="11"/>
        <color rgb="FF000000"/>
        <rFont val="Roboto Condensed"/>
        <charset val="1"/>
      </rPr>
      <t> </t>
    </r>
  </si>
  <si>
    <t>TTC </t>
  </si>
  <si>
    <t>Nursing </t>
  </si>
  <si>
    <t>Accounting </t>
  </si>
  <si>
    <r>
      <t>TVET L3_L5</t>
    </r>
    <r>
      <rPr>
        <sz val="11"/>
        <color rgb="FF000000"/>
        <rFont val="Roboto Condensed"/>
        <charset val="1"/>
      </rPr>
      <t> </t>
    </r>
  </si>
  <si>
    <r>
      <t>Higher education</t>
    </r>
    <r>
      <rPr>
        <sz val="11"/>
        <color rgb="FF000000"/>
        <rFont val="Roboto Condensed"/>
        <charset val="1"/>
      </rPr>
      <t> </t>
    </r>
  </si>
  <si>
    <t>Polytechnics </t>
  </si>
  <si>
    <t>General higher education </t>
  </si>
  <si>
    <r>
      <t>TVET L1_L2</t>
    </r>
    <r>
      <rPr>
        <sz val="11"/>
        <color rgb="FF000000"/>
        <rFont val="Roboto Condensed"/>
        <charset val="1"/>
      </rPr>
      <t> </t>
    </r>
  </si>
  <si>
    <r>
      <t>TVET short courses</t>
    </r>
    <r>
      <rPr>
        <sz val="11"/>
        <color rgb="FF000000"/>
        <rFont val="Roboto Condensed"/>
        <charset val="1"/>
      </rPr>
      <t> </t>
    </r>
  </si>
  <si>
    <r>
      <t>Adult Literacy</t>
    </r>
    <r>
      <rPr>
        <sz val="11"/>
        <color rgb="FF000000"/>
        <rFont val="Roboto Condensed"/>
        <charset val="1"/>
      </rPr>
      <t> </t>
    </r>
  </si>
  <si>
    <r>
      <t>Total learners in Rwanda</t>
    </r>
    <r>
      <rPr>
        <sz val="12"/>
        <color rgb="FF000000"/>
        <rFont val="Roboto Condensed"/>
        <charset val="1"/>
      </rPr>
      <t>  </t>
    </r>
  </si>
  <si>
    <r>
      <t xml:space="preserve">Overview </t>
    </r>
    <r>
      <rPr>
        <b/>
        <sz val="12"/>
        <color rgb="FF000000"/>
        <rFont val="Roboto Condensed"/>
      </rPr>
      <t>4</t>
    </r>
    <r>
      <rPr>
        <b/>
        <sz val="12"/>
        <rFont val="Roboto Condensed"/>
      </rPr>
      <t>: Number of teaching and administrative staff </t>
    </r>
  </si>
  <si>
    <r>
      <t>Levels</t>
    </r>
    <r>
      <rPr>
        <sz val="12"/>
        <color rgb="FF000000"/>
        <rFont val="Roboto Condensed"/>
        <charset val="1"/>
      </rPr>
      <t>  </t>
    </r>
  </si>
  <si>
    <r>
      <t>2021/22</t>
    </r>
    <r>
      <rPr>
        <sz val="12"/>
        <color rgb="FF000000"/>
        <rFont val="Roboto Condensed"/>
        <charset val="1"/>
      </rPr>
      <t>  </t>
    </r>
  </si>
  <si>
    <r>
      <t>Teaching Staff</t>
    </r>
    <r>
      <rPr>
        <sz val="12"/>
        <color rgb="FF000000"/>
        <rFont val="Roboto Condensed"/>
        <charset val="1"/>
      </rPr>
      <t> </t>
    </r>
  </si>
  <si>
    <t>Preprimary  </t>
  </si>
  <si>
    <t>Primary  </t>
  </si>
  <si>
    <t>General and Professional secondary  </t>
  </si>
  <si>
    <t>TVET L1_L5  </t>
  </si>
  <si>
    <t>Polytechnics  </t>
  </si>
  <si>
    <t>General higher education  </t>
  </si>
  <si>
    <t>Adult Literacy  </t>
  </si>
  <si>
    <r>
      <t>Administrative Staff</t>
    </r>
    <r>
      <rPr>
        <sz val="12"/>
        <color rgb="FF000000"/>
        <rFont val="Roboto Condensed"/>
        <charset val="1"/>
      </rPr>
      <t> </t>
    </r>
  </si>
  <si>
    <t>Administrative staff in Preprimary, primary, secondary and TVET L1 to L5 </t>
  </si>
  <si>
    <t> </t>
  </si>
  <si>
    <r>
      <t>Total</t>
    </r>
    <r>
      <rPr>
        <sz val="12"/>
        <color rgb="FF000000"/>
        <rFont val="Roboto Condensed"/>
        <charset val="1"/>
      </rPr>
      <t> </t>
    </r>
  </si>
  <si>
    <r>
      <t xml:space="preserve">Table </t>
    </r>
    <r>
      <rPr>
        <b/>
        <sz val="12"/>
        <color rgb="FF000000"/>
        <rFont val="Roboto Condensed"/>
      </rPr>
      <t>1.1</t>
    </r>
    <r>
      <rPr>
        <b/>
        <sz val="12"/>
        <rFont val="Roboto Condensed"/>
      </rPr>
      <t>.</t>
    </r>
    <r>
      <rPr>
        <b/>
        <sz val="12"/>
        <color rgb="FF000000"/>
        <rFont val="Roboto Condensed"/>
      </rPr>
      <t>1</t>
    </r>
    <r>
      <rPr>
        <b/>
        <sz val="12"/>
        <rFont val="Roboto Condensed"/>
      </rPr>
      <t>: Number of schools by level of education </t>
    </r>
  </si>
  <si>
    <r>
      <t>Levels of education</t>
    </r>
    <r>
      <rPr>
        <sz val="12"/>
        <color rgb="FF000000"/>
        <rFont val="Roboto Condensed"/>
      </rPr>
      <t> </t>
    </r>
  </si>
  <si>
    <r>
      <t>2017</t>
    </r>
    <r>
      <rPr>
        <sz val="12"/>
        <color rgb="FF000000"/>
        <rFont val="Roboto Condensed"/>
      </rPr>
      <t> </t>
    </r>
  </si>
  <si>
    <r>
      <t>2018</t>
    </r>
    <r>
      <rPr>
        <sz val="12"/>
        <color rgb="FF000000"/>
        <rFont val="Roboto Condensed"/>
      </rPr>
      <t> </t>
    </r>
  </si>
  <si>
    <r>
      <t>2019</t>
    </r>
    <r>
      <rPr>
        <sz val="12"/>
        <color rgb="FF000000"/>
        <rFont val="Roboto Condensed"/>
      </rPr>
      <t> </t>
    </r>
  </si>
  <si>
    <r>
      <t>2020/21</t>
    </r>
    <r>
      <rPr>
        <sz val="12"/>
        <color rgb="FF000000"/>
        <rFont val="Roboto Condensed"/>
      </rPr>
      <t> </t>
    </r>
  </si>
  <si>
    <r>
      <t>2021/22</t>
    </r>
    <r>
      <rPr>
        <sz val="12"/>
        <color rgb="FF000000"/>
        <rFont val="Roboto Condensed"/>
      </rPr>
      <t> </t>
    </r>
  </si>
  <si>
    <t>Overall number of schools*</t>
  </si>
  <si>
    <t>Schools with Preprimary level </t>
  </si>
  <si>
    <t>Schools with Primary level </t>
  </si>
  <si>
    <t>Schools with General and professional Secondary level </t>
  </si>
  <si>
    <t>Schools with TVET L1-L5 level </t>
  </si>
  <si>
    <r>
      <t>Polytechnics</t>
    </r>
    <r>
      <rPr>
        <sz val="12"/>
        <color rgb="FF000000"/>
        <rFont val="Roboto Condensed"/>
      </rPr>
      <t> </t>
    </r>
  </si>
  <si>
    <r>
      <t>General Higher education</t>
    </r>
    <r>
      <rPr>
        <sz val="12"/>
        <color rgb="FF000000"/>
        <rFont val="Roboto Condensed"/>
      </rPr>
      <t> </t>
    </r>
  </si>
  <si>
    <r>
      <t>Adult literacy</t>
    </r>
    <r>
      <rPr>
        <sz val="12"/>
        <color rgb="FF000000"/>
        <rFont val="Roboto Condensed"/>
      </rPr>
      <t> </t>
    </r>
  </si>
  <si>
    <r>
      <t>Source:</t>
    </r>
    <r>
      <rPr>
        <i/>
        <sz val="10"/>
        <color rgb="FF000000"/>
        <rFont val="Roboto Condensed"/>
      </rPr>
      <t xml:space="preserve"> School census, Ministry of Education and ECDs censu</t>
    </r>
  </si>
  <si>
    <t>*Preprimary, Primary, secondary and TVET L1 to L5 schools</t>
  </si>
  <si>
    <t>Table 1.1.2: Number of preprimary, primary, secondary and TVET schools by settings</t>
  </si>
  <si>
    <t>Settings*</t>
  </si>
  <si>
    <t>2020/21</t>
  </si>
  <si>
    <t>Total schools</t>
  </si>
  <si>
    <t>Preprimary</t>
  </si>
  <si>
    <t>Preprimary + Primary</t>
  </si>
  <si>
    <t>Preprimary + Lower Secondary</t>
  </si>
  <si>
    <t>Preprimary + Primary + Lower Secondary</t>
  </si>
  <si>
    <t>Preprimary + Primary + Gen. Upper Secondary</t>
  </si>
  <si>
    <t>Preprimary + Primary + TVET</t>
  </si>
  <si>
    <t>Preprimary + Lower + Gen. Upper Secondary</t>
  </si>
  <si>
    <t>Preprimary + Primary + Lower Secondary + TVET</t>
  </si>
  <si>
    <t>Preprimary + Primary + Lower + Gen. Upper Secondary</t>
  </si>
  <si>
    <t>Preprimary + Primary + Lower+ Gen. Upper Secondary + TVET</t>
  </si>
  <si>
    <t>Preprimary+ TVET+ Accounting</t>
  </si>
  <si>
    <t>Preprimary + Primary + Lower Secondary + Upper Secondary + Accounting</t>
  </si>
  <si>
    <t>Primary</t>
  </si>
  <si>
    <t>Primary + Lower Secondary</t>
  </si>
  <si>
    <t>Primary + TVET</t>
  </si>
  <si>
    <t>Primary + Lower Secondary + TVET + Accounting</t>
  </si>
  <si>
    <t>Primary + Lower + Gen. Upper Secondary</t>
  </si>
  <si>
    <t>Primary + Lower Secondary + TVET</t>
  </si>
  <si>
    <t>Primary + Lower + Gen. Upper Secondary + TVET</t>
  </si>
  <si>
    <t>Lower Secondary</t>
  </si>
  <si>
    <t>Lower + Gen. Upper Secondary</t>
  </si>
  <si>
    <t>Lower Secondary + TVET</t>
  </si>
  <si>
    <t>Lower Secondary + Gen. Upper Secondary + Accounting</t>
  </si>
  <si>
    <t>Lower Secondary + Gen. Upper Secondary + Nursing</t>
  </si>
  <si>
    <t>Lower Secondary + Gen. Upper Secondary + TVET</t>
  </si>
  <si>
    <t>Lower Secondary + Accounting</t>
  </si>
  <si>
    <t>Lower Secondary + TVET + Accounting</t>
  </si>
  <si>
    <t>Lower Secondary + Gen. Upper Secondary + TVET + Accounting</t>
  </si>
  <si>
    <t>Lower Secondary + Upper Secondary + TVET + Accounting + Nursing</t>
  </si>
  <si>
    <t>Gen. Upper Secondary</t>
  </si>
  <si>
    <t>Gen. Upper Secondary+ TVET + Accounting</t>
  </si>
  <si>
    <t>TTC</t>
  </si>
  <si>
    <t>Accounting</t>
  </si>
  <si>
    <t>TVET</t>
  </si>
  <si>
    <t>TVET + Accounting</t>
  </si>
  <si>
    <t>Nursing</t>
  </si>
  <si>
    <r>
      <t>Source:</t>
    </r>
    <r>
      <rPr>
        <i/>
        <sz val="12"/>
        <color theme="1"/>
        <rFont val="Roboto Condensed"/>
      </rPr>
      <t xml:space="preserve"> School census, Ministry of Education</t>
    </r>
  </si>
  <si>
    <t>*This table does not include Pre-Nursery, Higher Education, and adult literacy schools</t>
  </si>
  <si>
    <r>
      <t xml:space="preserve">Table </t>
    </r>
    <r>
      <rPr>
        <b/>
        <sz val="12"/>
        <color rgb="FF000000"/>
        <rFont val="Roboto Condensed"/>
      </rPr>
      <t>1.1</t>
    </r>
    <r>
      <rPr>
        <b/>
        <sz val="12"/>
        <rFont val="Roboto Condensed"/>
      </rPr>
      <t>.</t>
    </r>
    <r>
      <rPr>
        <b/>
        <sz val="12"/>
        <color rgb="FF000000"/>
        <rFont val="Roboto Condensed"/>
      </rPr>
      <t>3</t>
    </r>
    <r>
      <rPr>
        <b/>
        <sz val="12"/>
        <rFont val="Roboto Condensed"/>
      </rPr>
      <t>: School settings with preprimary level </t>
    </r>
  </si>
  <si>
    <t>Indicator/Year</t>
  </si>
  <si>
    <t> 2022/23</t>
  </si>
  <si>
    <t>Total number of schools with Preprimary level</t>
  </si>
  <si>
    <t>Standalone preprimary</t>
  </si>
  <si>
    <t>Preprimary attached to another level</t>
  </si>
  <si>
    <t>% of standalone preprimary</t>
  </si>
  <si>
    <t>% of preprimary attached to another level</t>
  </si>
  <si>
    <r>
      <t xml:space="preserve">Table </t>
    </r>
    <r>
      <rPr>
        <b/>
        <sz val="12"/>
        <color rgb="FF000000"/>
        <rFont val="Roboto Condensed"/>
      </rPr>
      <t>1.1</t>
    </r>
    <r>
      <rPr>
        <b/>
        <sz val="12"/>
        <rFont val="Roboto Condensed"/>
      </rPr>
      <t>.</t>
    </r>
    <r>
      <rPr>
        <b/>
        <sz val="12"/>
        <color rgb="FF000000"/>
        <rFont val="Roboto Condensed"/>
      </rPr>
      <t>4</t>
    </r>
    <r>
      <rPr>
        <b/>
        <sz val="12"/>
        <rFont val="Roboto Condensed"/>
      </rPr>
      <t>: School settings with primary level </t>
    </r>
  </si>
  <si>
    <t>Total number of schools with Primary level</t>
  </si>
  <si>
    <t>Standalone primary</t>
  </si>
  <si>
    <t>Primary attached to another level</t>
  </si>
  <si>
    <t xml:space="preserve">     % of standalone primary</t>
  </si>
  <si>
    <t xml:space="preserve">    % of primary attached to on another level</t>
  </si>
  <si>
    <r>
      <t xml:space="preserve">Table </t>
    </r>
    <r>
      <rPr>
        <b/>
        <sz val="12"/>
        <color rgb="FF000000"/>
        <rFont val="Roboto Condensed"/>
      </rPr>
      <t>1.1</t>
    </r>
    <r>
      <rPr>
        <b/>
        <sz val="12"/>
        <rFont val="Roboto Condensed"/>
      </rPr>
      <t>.</t>
    </r>
    <r>
      <rPr>
        <b/>
        <sz val="12"/>
        <color rgb="FF000000"/>
        <rFont val="Roboto Condensed"/>
      </rPr>
      <t>5</t>
    </r>
    <r>
      <rPr>
        <b/>
        <sz val="12"/>
        <rFont val="Roboto Condensed"/>
      </rPr>
      <t>: School settings with General and professional secondary </t>
    </r>
  </si>
  <si>
    <t>Total number of schools with Gen. and prof. secondary level</t>
  </si>
  <si>
    <t>Standalone Gen. and prof. secondary</t>
  </si>
  <si>
    <t>Gen. and prof. secondary attached to other levels</t>
  </si>
  <si>
    <t>% of standalone Gen. and prof. secondary</t>
  </si>
  <si>
    <t>% of Gen. and prof. secondary attached to another level</t>
  </si>
  <si>
    <r>
      <t xml:space="preserve">Table </t>
    </r>
    <r>
      <rPr>
        <b/>
        <sz val="12"/>
        <color rgb="FF000000"/>
        <rFont val="Roboto Condensed"/>
      </rPr>
      <t>1.1</t>
    </r>
    <r>
      <rPr>
        <b/>
        <sz val="12"/>
        <rFont val="Roboto Condensed"/>
      </rPr>
      <t>.</t>
    </r>
    <r>
      <rPr>
        <b/>
        <sz val="12"/>
        <color rgb="FF000000"/>
        <rFont val="Roboto Condensed"/>
      </rPr>
      <t>6</t>
    </r>
    <r>
      <rPr>
        <b/>
        <sz val="12"/>
        <rFont val="Roboto Condensed"/>
      </rPr>
      <t>: School settings with TVET L1 to L5 </t>
    </r>
  </si>
  <si>
    <t>Total number of schools with TVET level</t>
  </si>
  <si>
    <t>Standalone TVET</t>
  </si>
  <si>
    <t>TVET attached to another level</t>
  </si>
  <si>
    <t>% of standalone TVET</t>
  </si>
  <si>
    <t>% of TVET attached to another level</t>
  </si>
  <si>
    <t>Table 1.2.1: Number of Schools with preprimary level, by schools’ status</t>
  </si>
  <si>
    <t>Schools ‘status</t>
  </si>
  <si>
    <t>Public schools</t>
  </si>
  <si>
    <t>Government-subsidized schools</t>
  </si>
  <si>
    <t>Private schools</t>
  </si>
  <si>
    <t>Average pupils per school</t>
  </si>
  <si>
    <t>Table 1.2.2: Number of schools with primary level by school’ status</t>
  </si>
  <si>
    <t>School status</t>
  </si>
  <si>
    <t>Public</t>
  </si>
  <si>
    <t>Government-subsidized</t>
  </si>
  <si>
    <t>Private</t>
  </si>
  <si>
    <t>Average Pupil per School</t>
  </si>
  <si>
    <t xml:space="preserve">Table 1.2.3: Number of schools with gen. and prof. secondary level, by school’ status </t>
  </si>
  <si>
    <t>School year</t>
  </si>
  <si>
    <t>Total</t>
  </si>
  <si>
    <t>Average students per school</t>
  </si>
  <si>
    <t>Table 1.2.4: Number of schools with TVET L1 to L5, by school’ status</t>
  </si>
  <si>
    <t>Status</t>
  </si>
  <si>
    <r>
      <t>Source</t>
    </r>
    <r>
      <rPr>
        <i/>
        <sz val="10"/>
        <rFont val="Roboto Condensed"/>
      </rPr>
      <t>: School census, Ministry of Education </t>
    </r>
  </si>
  <si>
    <t>Table 1.2.5: Number of higher education institutions</t>
  </si>
  <si>
    <t>DESCRIPTION/YEAR</t>
  </si>
  <si>
    <t>2016/17</t>
  </si>
  <si>
    <t>2017/18</t>
  </si>
  <si>
    <t>2018/19</t>
  </si>
  <si>
    <t>Total Higher education institutions</t>
  </si>
  <si>
    <t>General Higher Education Institutions</t>
  </si>
  <si>
    <t>Table 1.2.6: Number of adult literacy centers</t>
  </si>
  <si>
    <t>Indicators / Year</t>
  </si>
  <si>
    <t>Centers</t>
  </si>
  <si>
    <t>Percentage</t>
  </si>
  <si>
    <r>
      <t>Source</t>
    </r>
    <r>
      <rPr>
        <i/>
        <sz val="10"/>
        <color theme="1"/>
        <rFont val="Roboto Condensed"/>
      </rPr>
      <t>: School census, Ministry of Education</t>
    </r>
  </si>
  <si>
    <t>School by Owner/Year</t>
  </si>
  <si>
    <t>Total number of schools</t>
  </si>
  <si>
    <t>Government</t>
  </si>
  <si>
    <t>Catholic</t>
  </si>
  <si>
    <t>Protestant</t>
  </si>
  <si>
    <t>Adventist</t>
  </si>
  <si>
    <t>Islamic</t>
  </si>
  <si>
    <t>Parents associations</t>
  </si>
  <si>
    <t>Individuals/NGOs</t>
  </si>
  <si>
    <t>Percentage of schools by owner</t>
  </si>
  <si>
    <t>School by Owner</t>
  </si>
  <si>
    <t>7th Day Adventist</t>
  </si>
  <si>
    <t>Percentages</t>
  </si>
  <si>
    <r>
      <t>7</t>
    </r>
    <r>
      <rPr>
        <i/>
        <vertAlign val="superscript"/>
        <sz val="12"/>
        <color rgb="FF000000"/>
        <rFont val="Roboto Condensed"/>
      </rPr>
      <t>th</t>
    </r>
    <r>
      <rPr>
        <i/>
        <sz val="12"/>
        <color rgb="FF000000"/>
        <rFont val="Roboto Condensed"/>
      </rPr>
      <t xml:space="preserve"> Day Adventist</t>
    </r>
  </si>
  <si>
    <t>Total Centers</t>
  </si>
  <si>
    <t>Churches</t>
  </si>
  <si>
    <t>NGOs &amp; Projects</t>
  </si>
  <si>
    <t xml:space="preserve">Table 1.3.6:  Number and Percentage of schools meeting the Standard PCR </t>
  </si>
  <si>
    <r>
      <t>Center by Owner/year</t>
    </r>
    <r>
      <rPr>
        <sz val="12"/>
        <color rgb="FF000000"/>
        <rFont val="Roboto Condensed"/>
        <charset val="1"/>
      </rPr>
      <t> </t>
    </r>
  </si>
  <si>
    <r>
      <t>2022/2023</t>
    </r>
    <r>
      <rPr>
        <sz val="12"/>
        <color rgb="FF000000"/>
        <rFont val="Roboto Condensed"/>
        <charset val="1"/>
      </rPr>
      <t> </t>
    </r>
  </si>
  <si>
    <r>
      <t>Number of Schools that meet standards for schools with </t>
    </r>
    <r>
      <rPr>
        <sz val="12"/>
        <color rgb="FF000000"/>
        <rFont val="Roboto Condensed"/>
        <charset val="1"/>
      </rPr>
      <t> </t>
    </r>
  </si>
  <si>
    <r>
      <t>preprimary level meeting 30:1 PCR</t>
    </r>
    <r>
      <rPr>
        <sz val="12"/>
        <color rgb="FF000000"/>
        <rFont val="Roboto Condensed"/>
        <charset val="1"/>
      </rPr>
      <t> </t>
    </r>
  </si>
  <si>
    <r>
      <t>primary level meeting 46:1 PCR</t>
    </r>
    <r>
      <rPr>
        <sz val="12"/>
        <color rgb="FF000000"/>
        <rFont val="Roboto Condensed"/>
        <charset val="1"/>
      </rPr>
      <t> </t>
    </r>
  </si>
  <si>
    <r>
      <t>lower Secondary level meeting 46:1 PCR</t>
    </r>
    <r>
      <rPr>
        <sz val="12"/>
        <color rgb="FF000000"/>
        <rFont val="Roboto Condensed"/>
        <charset val="1"/>
      </rPr>
      <t> </t>
    </r>
  </si>
  <si>
    <r>
      <t>Gen &amp; Prof. upper Secondary level meeting 46:1 PCR</t>
    </r>
    <r>
      <rPr>
        <sz val="12"/>
        <color rgb="FF000000"/>
        <rFont val="Roboto Condensed"/>
        <charset val="1"/>
      </rPr>
      <t> </t>
    </r>
  </si>
  <si>
    <r>
      <t>TVET level meeting 25:1 PCR</t>
    </r>
    <r>
      <rPr>
        <sz val="12"/>
        <color rgb="FF000000"/>
        <rFont val="Roboto Condensed"/>
        <charset val="1"/>
      </rPr>
      <t> </t>
    </r>
  </si>
  <si>
    <r>
      <t>Percentage</t>
    </r>
    <r>
      <rPr>
        <sz val="12"/>
        <color rgb="FF000000"/>
        <rFont val="Roboto Condensed"/>
        <charset val="1"/>
      </rPr>
      <t> </t>
    </r>
  </si>
  <si>
    <r>
      <t>% of preprimary level meeting 30:1 PCR</t>
    </r>
    <r>
      <rPr>
        <sz val="12"/>
        <color rgb="FF000000"/>
        <rFont val="Roboto Condensed"/>
        <charset val="1"/>
      </rPr>
      <t> </t>
    </r>
  </si>
  <si>
    <r>
      <t>% of primary level meeting 46:1 PCR</t>
    </r>
    <r>
      <rPr>
        <sz val="12"/>
        <color rgb="FF000000"/>
        <rFont val="Roboto Condensed"/>
        <charset val="1"/>
      </rPr>
      <t> </t>
    </r>
  </si>
  <si>
    <r>
      <t>% of lower Secondary level meeting 46:1 PCR</t>
    </r>
    <r>
      <rPr>
        <sz val="12"/>
        <color rgb="FF000000"/>
        <rFont val="Roboto Condensed"/>
        <charset val="1"/>
      </rPr>
      <t> </t>
    </r>
  </si>
  <si>
    <r>
      <t>% of Gen&amp; Prof. upper Secondary level meeting 46:1 PCR</t>
    </r>
    <r>
      <rPr>
        <sz val="12"/>
        <color rgb="FF000000"/>
        <rFont val="Roboto Condensed"/>
        <charset val="1"/>
      </rPr>
      <t> </t>
    </r>
  </si>
  <si>
    <r>
      <t>% of TVET level meeting 25:1 PCR</t>
    </r>
    <r>
      <rPr>
        <sz val="12"/>
        <color rgb="FF000000"/>
        <rFont val="Roboto Condensed"/>
        <charset val="1"/>
      </rPr>
      <t> </t>
    </r>
  </si>
  <si>
    <r>
      <t>Indicator/Year</t>
    </r>
    <r>
      <rPr>
        <sz val="11"/>
        <color rgb="FF000000"/>
        <rFont val="Roboto Condensed"/>
        <charset val="1"/>
      </rPr>
      <t> </t>
    </r>
  </si>
  <si>
    <r>
      <t>2017</t>
    </r>
    <r>
      <rPr>
        <sz val="11"/>
        <color rgb="FF000000"/>
        <rFont val="Roboto Condensed"/>
        <charset val="1"/>
      </rPr>
      <t> </t>
    </r>
  </si>
  <si>
    <r>
      <t>2018</t>
    </r>
    <r>
      <rPr>
        <sz val="11"/>
        <color rgb="FF000000"/>
        <rFont val="Roboto Condensed"/>
        <charset val="1"/>
      </rPr>
      <t> </t>
    </r>
  </si>
  <si>
    <r>
      <t>2019</t>
    </r>
    <r>
      <rPr>
        <sz val="11"/>
        <color rgb="FF000000"/>
        <rFont val="Roboto Condensed"/>
        <charset val="1"/>
      </rPr>
      <t> </t>
    </r>
  </si>
  <si>
    <r>
      <t>2022/23</t>
    </r>
    <r>
      <rPr>
        <sz val="11"/>
        <color rgb="FF000000"/>
        <rFont val="Roboto Condensed"/>
        <charset val="1"/>
      </rPr>
      <t> </t>
    </r>
  </si>
  <si>
    <r>
      <t>Overall, Schools with girls’ rooms</t>
    </r>
    <r>
      <rPr>
        <sz val="11"/>
        <color rgb="FF000000"/>
        <rFont val="Roboto Condensed"/>
        <charset val="1"/>
      </rPr>
      <t> </t>
    </r>
  </si>
  <si>
    <t>Schools with Gen. and prof. Secondary level </t>
  </si>
  <si>
    <t>Schools with TVET L1-L5 levels </t>
  </si>
  <si>
    <t>262 </t>
  </si>
  <si>
    <r>
      <t>Schools without girls ‘rooms</t>
    </r>
    <r>
      <rPr>
        <sz val="11"/>
        <color rgb="FF000000"/>
        <rFont val="Roboto Condensed"/>
        <charset val="1"/>
      </rPr>
      <t> </t>
    </r>
  </si>
  <si>
    <r>
      <t>Percentage of schools with girl’s rooms</t>
    </r>
    <r>
      <rPr>
        <sz val="11"/>
        <color rgb="FF000000"/>
        <rFont val="Roboto Condensed"/>
        <charset val="1"/>
      </rPr>
      <t> </t>
    </r>
  </si>
  <si>
    <t>Table 1.4.1: Total number of classrooms in use, by schools ‘status</t>
  </si>
  <si>
    <t>Total classrooms</t>
  </si>
  <si>
    <t>In Public schools</t>
  </si>
  <si>
    <t>In Government-subsidized schools</t>
  </si>
  <si>
    <t>In Private schools</t>
  </si>
  <si>
    <t>National Average pupils per classroom</t>
  </si>
  <si>
    <t>Table 1.4.2: Number of preprimary classrooms, by schools 'status</t>
  </si>
  <si>
    <t>Average pupils per classroom</t>
  </si>
  <si>
    <t>Source: School census, Ministry of Education</t>
  </si>
  <si>
    <t>Table 1.4.3: Number of primary classrooms in use by school status</t>
  </si>
  <si>
    <t>Average Pupil per Classroom</t>
  </si>
  <si>
    <t>Table 1.4.4: Number of primary school classes by school status</t>
  </si>
  <si>
    <t>Total classes</t>
  </si>
  <si>
    <t>Average Pupil per Class</t>
  </si>
  <si>
    <t>Table 1.4.5: Number of primary classrooms in use per grade</t>
  </si>
  <si>
    <t>Grade</t>
  </si>
  <si>
    <t>Number of classrooms</t>
  </si>
  <si>
    <t>P1</t>
  </si>
  <si>
    <t>P2</t>
  </si>
  <si>
    <t>P3</t>
  </si>
  <si>
    <t>P4</t>
  </si>
  <si>
    <t>P5</t>
  </si>
  <si>
    <t>P6</t>
  </si>
  <si>
    <t>Average number of Pupils per classroom</t>
  </si>
  <si>
    <t>Table 1.4.6: Number of gen. and prof. secondary classrooms in use</t>
  </si>
  <si>
    <t>Total Classrooms</t>
  </si>
  <si>
    <t>Average students per Classroom</t>
  </si>
  <si>
    <t>Table 1.4.7: Number of gen. and prof. secondary classrooms per grade</t>
  </si>
  <si>
    <t>S1</t>
  </si>
  <si>
    <t>S2</t>
  </si>
  <si>
    <t>S3</t>
  </si>
  <si>
    <t>S4</t>
  </si>
  <si>
    <t>S5</t>
  </si>
  <si>
    <t>S6</t>
  </si>
  <si>
    <r>
      <t>Source:</t>
    </r>
    <r>
      <rPr>
        <i/>
        <sz val="10"/>
        <color theme="1"/>
        <rFont val="Roboto Condensed"/>
      </rPr>
      <t xml:space="preserve"> School census, Ministry of Education</t>
    </r>
  </si>
  <si>
    <t>Table 1.4.8: Number of TVET classrooms for level I to 5</t>
  </si>
  <si>
    <t>Trainees per Classroom</t>
  </si>
  <si>
    <t>Table 1.4.9: Number of TVET’ classrooms per level</t>
  </si>
  <si>
    <t>level</t>
  </si>
  <si>
    <t>Level 1</t>
  </si>
  <si>
    <t>Level 2</t>
  </si>
  <si>
    <t>Level 3</t>
  </si>
  <si>
    <t>Level 4</t>
  </si>
  <si>
    <t>Level 5</t>
  </si>
  <si>
    <t>Table 1.5.1: Total number of desks, by schools’ status</t>
  </si>
  <si>
    <t>Schools’ status</t>
  </si>
  <si>
    <t>Total desks</t>
  </si>
  <si>
    <t>Table 1.5.2: Number of Preprimary desks, by schools’ status</t>
  </si>
  <si>
    <t>Average pupils per desk</t>
  </si>
  <si>
    <t>Table 1.5.3: Number of primary desks by school status</t>
  </si>
  <si>
    <t>Average Pupil per desk</t>
  </si>
  <si>
    <t>Table 1.5.4: Number of general and professional secondary schools' desks</t>
  </si>
  <si>
    <t>Average Pupils per desk</t>
  </si>
  <si>
    <t>Table 1.5.5: Number of TVET desks for level I to 5</t>
  </si>
  <si>
    <t>Trainees per desks</t>
  </si>
  <si>
    <t>Table 1.5.6: Number of Adult literacy desks</t>
  </si>
  <si>
    <t>Number of desks</t>
  </si>
  <si>
    <t>Learners per desk</t>
  </si>
  <si>
    <r>
      <t>1.6</t>
    </r>
    <r>
      <rPr>
        <b/>
        <sz val="12"/>
        <color theme="1"/>
        <rFont val="Times New Roman"/>
        <family val="1"/>
      </rPr>
      <t xml:space="preserve">  </t>
    </r>
    <r>
      <rPr>
        <b/>
        <sz val="12"/>
        <color theme="1"/>
        <rFont val="Roboto Condensed"/>
      </rPr>
      <t>Sport facilities in school</t>
    </r>
  </si>
  <si>
    <t>Table 1.6.1: Game and materials for Pre-Primary level in 2022/23</t>
  </si>
  <si>
    <t>Games and materials</t>
  </si>
  <si>
    <t>Preprimary with</t>
  </si>
  <si>
    <t>Preprimary without</t>
  </si>
  <si>
    <t>% of Pre-Primary with</t>
  </si>
  <si>
    <t xml:space="preserve">Small Balls </t>
  </si>
  <si>
    <t>891 </t>
  </si>
  <si>
    <t>3,160 </t>
  </si>
  <si>
    <t>22.0% </t>
  </si>
  <si>
    <t>Toys</t>
  </si>
  <si>
    <t>784 </t>
  </si>
  <si>
    <t>3,267 </t>
  </si>
  <si>
    <t>19.4% </t>
  </si>
  <si>
    <t>Cubes shapes</t>
  </si>
  <si>
    <t>628 </t>
  </si>
  <si>
    <t>3,423 </t>
  </si>
  <si>
    <t>15.5% </t>
  </si>
  <si>
    <t xml:space="preserve">Swings </t>
  </si>
  <si>
    <t>620 </t>
  </si>
  <si>
    <t>3,431 </t>
  </si>
  <si>
    <t>15.3% </t>
  </si>
  <si>
    <t xml:space="preserve">Puzzles </t>
  </si>
  <si>
    <t>535 </t>
  </si>
  <si>
    <t>3,516 </t>
  </si>
  <si>
    <t>13.2% </t>
  </si>
  <si>
    <t>Ropes used in different games</t>
  </si>
  <si>
    <t>550 </t>
  </si>
  <si>
    <t>3,501 </t>
  </si>
  <si>
    <t>13.6% </t>
  </si>
  <si>
    <t xml:space="preserve">Bats and Balls </t>
  </si>
  <si>
    <t>453 </t>
  </si>
  <si>
    <t>3,598 </t>
  </si>
  <si>
    <t>11.2% </t>
  </si>
  <si>
    <t>Hand puppets</t>
  </si>
  <si>
    <t>435 </t>
  </si>
  <si>
    <t>3,616 </t>
  </si>
  <si>
    <t>10.7% </t>
  </si>
  <si>
    <t>Balance and fitness</t>
  </si>
  <si>
    <t>394 </t>
  </si>
  <si>
    <t>3,657 </t>
  </si>
  <si>
    <t>9.7% </t>
  </si>
  <si>
    <t xml:space="preserve">Ladders </t>
  </si>
  <si>
    <t>356 </t>
  </si>
  <si>
    <t>3,695 </t>
  </si>
  <si>
    <t>8.8% </t>
  </si>
  <si>
    <t>Rope trees and nets</t>
  </si>
  <si>
    <t>259 </t>
  </si>
  <si>
    <t>3,792 </t>
  </si>
  <si>
    <t>6.4% </t>
  </si>
  <si>
    <t>Big circles</t>
  </si>
  <si>
    <t>385 </t>
  </si>
  <si>
    <t>3,666 </t>
  </si>
  <si>
    <t>9.5% </t>
  </si>
  <si>
    <t>Climbing and gym equipment</t>
  </si>
  <si>
    <t>245 </t>
  </si>
  <si>
    <t>3,806 </t>
  </si>
  <si>
    <t>6.0% </t>
  </si>
  <si>
    <t>Roundabouts</t>
  </si>
  <si>
    <t>280 </t>
  </si>
  <si>
    <t>3,771 </t>
  </si>
  <si>
    <t>6.9% </t>
  </si>
  <si>
    <t>Toboggan: Sliding games</t>
  </si>
  <si>
    <t>251 </t>
  </si>
  <si>
    <t>3,800 </t>
  </si>
  <si>
    <t>6.2% </t>
  </si>
  <si>
    <t>Spring Rockers</t>
  </si>
  <si>
    <t>3,789 </t>
  </si>
  <si>
    <t>6.5% </t>
  </si>
  <si>
    <t>Small Bicycle</t>
  </si>
  <si>
    <t>203 </t>
  </si>
  <si>
    <t>3,848 </t>
  </si>
  <si>
    <t>5.0% </t>
  </si>
  <si>
    <t>Rocking</t>
  </si>
  <si>
    <t>123 </t>
  </si>
  <si>
    <t>3,928 </t>
  </si>
  <si>
    <t>3.0% </t>
  </si>
  <si>
    <t>Table 1.6.2: Sport facilities in primary and secondary schools in 2022/23</t>
  </si>
  <si>
    <t>Levels of education</t>
  </si>
  <si>
    <t>Football</t>
  </si>
  <si>
    <t>Volleyball</t>
  </si>
  <si>
    <t>Basketball</t>
  </si>
  <si>
    <t>Gymnasium</t>
  </si>
  <si>
    <t>Number of schools with playground</t>
  </si>
  <si>
    <t>with Primary level</t>
  </si>
  <si>
    <t>With Gen. and prof Secondary level</t>
  </si>
  <si>
    <t>with TVET L1-L5 level</t>
  </si>
  <si>
    <t>Number of schools without playground</t>
  </si>
  <si>
    <t>Percentage of schools with playground</t>
  </si>
  <si>
    <t>53.9% </t>
  </si>
  <si>
    <t>Table 2.1.1: Number of total learners in Rwanda education system</t>
  </si>
  <si>
    <t>Total learners</t>
  </si>
  <si>
    <t>Male</t>
  </si>
  <si>
    <t>Female</t>
  </si>
  <si>
    <t>% of Male</t>
  </si>
  <si>
    <t>% of Female</t>
  </si>
  <si>
    <r>
      <t>50.4%</t>
    </r>
    <r>
      <rPr>
        <sz val="12"/>
        <color rgb="FF000000"/>
        <rFont val="Roboto Condensed"/>
        <charset val="1"/>
      </rPr>
      <t> </t>
    </r>
  </si>
  <si>
    <t>Table 2.1.2: Number of children in Early Childhood Developments (ECDs)</t>
  </si>
  <si>
    <t>Total children in ECDs</t>
  </si>
  <si>
    <t>Total children in ECED centers</t>
  </si>
  <si>
    <t>ECED children in Formal centers</t>
  </si>
  <si>
    <t>ECED children in non-formal centers*</t>
  </si>
  <si>
    <r>
      <t>Total pupils in Preprimary</t>
    </r>
    <r>
      <rPr>
        <b/>
        <sz val="12"/>
        <color rgb="FFFF0000"/>
        <rFont val="Roboto Condensed"/>
      </rPr>
      <t xml:space="preserve"> </t>
    </r>
    <r>
      <rPr>
        <b/>
        <sz val="12"/>
        <color rgb="FF000000"/>
        <rFont val="Roboto Condensed"/>
      </rPr>
      <t>level</t>
    </r>
  </si>
  <si>
    <t>Total pupils</t>
  </si>
  <si>
    <t>Pupils in Public schools</t>
  </si>
  <si>
    <t>Pupils in Government-subsidized schools</t>
  </si>
  <si>
    <t>Pupils in Private schools</t>
  </si>
  <si>
    <t>Description/Year</t>
  </si>
  <si>
    <t>Total primary pupils</t>
  </si>
  <si>
    <t>% Of Male</t>
  </si>
  <si>
    <t>% Of Female</t>
  </si>
  <si>
    <t>Total Lower secondary Students</t>
  </si>
  <si>
    <t>Students in Public schools</t>
  </si>
  <si>
    <t>Students in Government-subsidized schools</t>
  </si>
  <si>
    <t>Students in Private schools</t>
  </si>
  <si>
    <t>Total Students</t>
  </si>
  <si>
    <t>Total trainees</t>
  </si>
  <si>
    <t>Trainees in Public schools</t>
  </si>
  <si>
    <t>Trainees in Government-subsidized schools</t>
  </si>
  <si>
    <t>Trainees in Private schools</t>
  </si>
  <si>
    <r>
      <t>Source</t>
    </r>
    <r>
      <rPr>
        <i/>
        <sz val="10"/>
        <rFont val="Roboto Condensed"/>
      </rPr>
      <t>: School census, Ministry of Education</t>
    </r>
    <r>
      <rPr>
        <sz val="10"/>
        <rFont val="Roboto Condensed"/>
      </rPr>
      <t> </t>
    </r>
  </si>
  <si>
    <t>TVET vs Accounting</t>
  </si>
  <si>
    <r>
      <t>TVET</t>
    </r>
    <r>
      <rPr>
        <sz val="12"/>
        <color rgb="FF000000"/>
        <rFont val="Roboto Condensed"/>
        <charset val="1"/>
      </rPr>
      <t> </t>
    </r>
  </si>
  <si>
    <r>
      <t>Accounting</t>
    </r>
    <r>
      <rPr>
        <sz val="12"/>
        <color rgb="FF000000"/>
        <rFont val="Roboto Condensed"/>
        <charset val="1"/>
      </rPr>
      <t> </t>
    </r>
  </si>
  <si>
    <t>Total number of students</t>
  </si>
  <si>
    <t>Students in Public HEIs</t>
  </si>
  <si>
    <t>Students in Private HEIs</t>
  </si>
  <si>
    <t>Total students in Polytechnics</t>
  </si>
  <si>
    <t>Students in Public Polytechnics</t>
  </si>
  <si>
    <t>Students in Private Polytechnics</t>
  </si>
  <si>
    <t>Total students</t>
  </si>
  <si>
    <t>Students in Public Institutions</t>
  </si>
  <si>
    <t>Students in Private Institutions</t>
  </si>
  <si>
    <t>Learners in Public centers</t>
  </si>
  <si>
    <t>Learners in Government-subsidized centers</t>
  </si>
  <si>
    <t>Learners in Private centers</t>
  </si>
  <si>
    <t>Table 2.2.1: Enrolled primary school pupils by grade</t>
  </si>
  <si>
    <t>Sex</t>
  </si>
  <si>
    <t>Table 2.2.2: Lower secondary school student’s enrolment</t>
  </si>
  <si>
    <t>Secondary 1</t>
  </si>
  <si>
    <t>Secondary 2</t>
  </si>
  <si>
    <t>Secondary 3</t>
  </si>
  <si>
    <r>
      <t>Source</t>
    </r>
    <r>
      <rPr>
        <sz val="10"/>
        <color theme="1"/>
        <rFont val="Roboto Condensed"/>
      </rPr>
      <t>: School census, Ministry of Education</t>
    </r>
  </si>
  <si>
    <r>
      <t xml:space="preserve">Table 2.2.3: </t>
    </r>
    <r>
      <rPr>
        <b/>
        <sz val="12"/>
        <color rgb="FF000000"/>
        <rFont val="Roboto Condensed"/>
      </rPr>
      <t>General and professional</t>
    </r>
    <r>
      <rPr>
        <sz val="12"/>
        <color rgb="FF000000"/>
        <rFont val="Roboto Condensed"/>
      </rPr>
      <t xml:space="preserve"> </t>
    </r>
    <r>
      <rPr>
        <b/>
        <sz val="12"/>
        <color rgb="FF000000"/>
        <rFont val="Roboto Condensed"/>
      </rPr>
      <t>upper secondary school student’s enrolment</t>
    </r>
  </si>
  <si>
    <t>Secondary 4</t>
  </si>
  <si>
    <t>Secondary 5</t>
  </si>
  <si>
    <t>Secondary 6</t>
  </si>
  <si>
    <t>Table 2.2.4: Total number of TVET trainees</t>
  </si>
  <si>
    <t>Levels</t>
  </si>
  <si>
    <t>Trainees in TVET short courses</t>
  </si>
  <si>
    <t>Trainees in TVET level 1 to 2</t>
  </si>
  <si>
    <t>Trainees in TVET level 3 to 5</t>
  </si>
  <si>
    <t>Trainees in polytechnics</t>
  </si>
  <si>
    <t>Table 2.2.5: TVET trainee’s enrolment from level 1 to 5</t>
  </si>
  <si>
    <t>2021/2022</t>
  </si>
  <si>
    <t>2022/2023</t>
  </si>
  <si>
    <t>Students in Sciences combinations</t>
  </si>
  <si>
    <t>Students in Humanities combinations</t>
  </si>
  <si>
    <t>Students in Languages combinations</t>
  </si>
  <si>
    <t>Students in TTC</t>
  </si>
  <si>
    <t>Students in TVET L3_L5</t>
  </si>
  <si>
    <t>Students in Accounting</t>
  </si>
  <si>
    <r>
      <t>Source:</t>
    </r>
    <r>
      <rPr>
        <i/>
        <sz val="10"/>
        <rFont val="Roboto Condensed"/>
      </rPr>
      <t xml:space="preserve"> School census, Ministry of Education</t>
    </r>
    <r>
      <rPr>
        <sz val="10"/>
        <rFont val="Roboto Condensed"/>
      </rPr>
      <t> </t>
    </r>
  </si>
  <si>
    <t>Table 2.3.2: Upper secondary students per learning area in 2022/23</t>
  </si>
  <si>
    <t>Science</t>
  </si>
  <si>
    <t>Humanities</t>
  </si>
  <si>
    <t>Languages</t>
  </si>
  <si>
    <t>S4/Y1/L3</t>
  </si>
  <si>
    <t>S5/Y2/L4</t>
  </si>
  <si>
    <t>S6/Y3/L5</t>
  </si>
  <si>
    <t>Table 2.3.3: Proportion of upper secondary students per grade in 2022/23</t>
  </si>
  <si>
    <t xml:space="preserve"> </t>
  </si>
  <si>
    <r>
      <t>Sex</t>
    </r>
    <r>
      <rPr>
        <sz val="12"/>
        <color rgb="FF000000"/>
        <rFont val="Roboto Condensed"/>
        <charset val="1"/>
      </rPr>
      <t> </t>
    </r>
  </si>
  <si>
    <t>Male </t>
  </si>
  <si>
    <t>3.8% </t>
  </si>
  <si>
    <t>Female </t>
  </si>
  <si>
    <t>2.8% </t>
  </si>
  <si>
    <t>35.5% </t>
  </si>
  <si>
    <t>5.3% </t>
  </si>
  <si>
    <t>Table 2.3.4: Higher education students enrolled by field of education.</t>
  </si>
  <si>
    <t>Field of Education/Year</t>
  </si>
  <si>
    <t>Education</t>
  </si>
  <si>
    <t>Arts and Humanities</t>
  </si>
  <si>
    <t>Social Sciences, Journalism and Information</t>
  </si>
  <si>
    <t>Business, Administration and Law</t>
  </si>
  <si>
    <t>Natural Sciences, Mathematics and Statistics</t>
  </si>
  <si>
    <t>Information and Communication Technologies</t>
  </si>
  <si>
    <t>Engineering, Manufacturing and Construction</t>
  </si>
  <si>
    <t>Agriculture, Forestry, Fisheries and Veterinary</t>
  </si>
  <si>
    <t>Health and Welfare</t>
  </si>
  <si>
    <t>Services</t>
  </si>
  <si>
    <r>
      <t>Source:</t>
    </r>
    <r>
      <rPr>
        <sz val="10"/>
        <color theme="1"/>
        <rFont val="Roboto Condensed"/>
      </rPr>
      <t xml:space="preserve"> School census, Ministry of Education</t>
    </r>
  </si>
  <si>
    <t>Table 2.3.5: TVET short courses trainees by type of intervention</t>
  </si>
  <si>
    <t>Interventions</t>
  </si>
  <si>
    <t xml:space="preserve">Total </t>
  </si>
  <si>
    <t>% Male</t>
  </si>
  <si>
    <t>% Female</t>
  </si>
  <si>
    <t>School based training</t>
  </si>
  <si>
    <t>-</t>
  </si>
  <si>
    <t>Recognition of Prior Learning</t>
  </si>
  <si>
    <t> 193  </t>
  </si>
  <si>
    <t>Industrial Based Training</t>
  </si>
  <si>
    <t>Massive Vocation Training</t>
  </si>
  <si>
    <t>Rapid Response Training</t>
  </si>
  <si>
    <t>Other programs</t>
  </si>
  <si>
    <t>Table 2.4.1: STEM students enrolled in upper secondary</t>
  </si>
  <si>
    <t>Total STEM Students</t>
  </si>
  <si>
    <r>
      <t>Source:</t>
    </r>
    <r>
      <rPr>
        <i/>
        <sz val="10"/>
        <color rgb="FF000000"/>
        <rFont val="Roboto Condensed"/>
      </rPr>
      <t xml:space="preserve"> School census, Ministry of Education</t>
    </r>
  </si>
  <si>
    <t>Table 2.4.2: Percentage of STEM students enrolled in upper secondary</t>
  </si>
  <si>
    <t>Percentage of STEM Students</t>
  </si>
  <si>
    <t>Percentage in Public schools</t>
  </si>
  <si>
    <t>Percentage in Government-subsidized schools</t>
  </si>
  <si>
    <t>Table 2.4.3: STEM students enrolled in Higher education</t>
  </si>
  <si>
    <t>STEM Students in Public Institutions</t>
  </si>
  <si>
    <t>STEM Students in Private Institutions</t>
  </si>
  <si>
    <t>Table 2.4.4: Percentage of STEM students enrolled in Higher education</t>
  </si>
  <si>
    <r>
      <t>Source:</t>
    </r>
    <r>
      <rPr>
        <i/>
        <sz val="10"/>
        <color rgb="FF000000"/>
        <rFont val="Roboto Condensed"/>
      </rPr>
      <t xml:space="preserve"> School census, Ministry of Education</t>
    </r>
    <r>
      <rPr>
        <sz val="10"/>
        <color rgb="FF000000"/>
        <rFont val="Roboto Condensed"/>
      </rPr>
      <t> </t>
    </r>
  </si>
  <si>
    <t>Table 2.5.1: Number of enrolled learners in 2022/23 per age group and level of education  </t>
  </si>
  <si>
    <r>
      <t>Age group</t>
    </r>
    <r>
      <rPr>
        <sz val="11"/>
        <color rgb="FF000000"/>
        <rFont val="Roboto Condensed"/>
        <charset val="1"/>
      </rPr>
      <t> </t>
    </r>
  </si>
  <si>
    <r>
      <t>&lt; 3</t>
    </r>
    <r>
      <rPr>
        <sz val="11"/>
        <color rgb="FF000000"/>
        <rFont val="Roboto Condensed"/>
        <charset val="1"/>
      </rPr>
      <t> </t>
    </r>
  </si>
  <si>
    <r>
      <t>3-5</t>
    </r>
    <r>
      <rPr>
        <sz val="11"/>
        <color rgb="FF000000"/>
        <rFont val="Roboto Condensed"/>
        <charset val="1"/>
      </rPr>
      <t> </t>
    </r>
  </si>
  <si>
    <r>
      <t>6-11</t>
    </r>
    <r>
      <rPr>
        <sz val="11"/>
        <color rgb="FF000000"/>
        <rFont val="Roboto Condensed"/>
        <charset val="1"/>
      </rPr>
      <t> </t>
    </r>
  </si>
  <si>
    <r>
      <t>12-14</t>
    </r>
    <r>
      <rPr>
        <sz val="11"/>
        <color rgb="FF000000"/>
        <rFont val="Roboto Condensed"/>
        <charset val="1"/>
      </rPr>
      <t> </t>
    </r>
  </si>
  <si>
    <r>
      <t>15-17</t>
    </r>
    <r>
      <rPr>
        <sz val="11"/>
        <color rgb="FF000000"/>
        <rFont val="Roboto Condensed"/>
        <charset val="1"/>
      </rPr>
      <t> </t>
    </r>
  </si>
  <si>
    <r>
      <t>18-22</t>
    </r>
    <r>
      <rPr>
        <sz val="11"/>
        <color rgb="FF000000"/>
        <rFont val="Roboto Condensed"/>
        <charset val="1"/>
      </rPr>
      <t> </t>
    </r>
  </si>
  <si>
    <r>
      <t>&gt;22</t>
    </r>
    <r>
      <rPr>
        <sz val="11"/>
        <color rgb="FF000000"/>
        <rFont val="Roboto Condensed"/>
        <charset val="1"/>
      </rPr>
      <t> </t>
    </r>
  </si>
  <si>
    <r>
      <t>Total</t>
    </r>
    <r>
      <rPr>
        <sz val="11"/>
        <color rgb="FF000000"/>
        <rFont val="Roboto Condensed"/>
        <charset val="1"/>
      </rPr>
      <t> </t>
    </r>
  </si>
  <si>
    <t>Gen. and prof.Upper secondary</t>
  </si>
  <si>
    <t>TVET L3- L5 </t>
  </si>
  <si>
    <t>TVET L1- L2 </t>
  </si>
  <si>
    <t>TVET short course </t>
  </si>
  <si>
    <t>General Higher education </t>
  </si>
  <si>
    <t>Adult literacy </t>
  </si>
  <si>
    <t>Total over-age learners</t>
  </si>
  <si>
    <t>Over-age pupils in preprimary</t>
  </si>
  <si>
    <t>Over-age pupils in primary</t>
  </si>
  <si>
    <t>Over-age students in lower Secondary</t>
  </si>
  <si>
    <t>Overaged students in gen. and Prof. upper Secondary</t>
  </si>
  <si>
    <t>Over-age students in TVET L3-L5</t>
  </si>
  <si>
    <t>Overall % of over-age learners</t>
  </si>
  <si>
    <t>% of over-age pupils in preprimary</t>
  </si>
  <si>
    <t>% of over-age pupils in primary</t>
  </si>
  <si>
    <t>% of over-age students in lower Secondary</t>
  </si>
  <si>
    <t>% of over-age students in Gen. and prof. upper Secondary</t>
  </si>
  <si>
    <t>% of over-aged students in TVET L3-L5</t>
  </si>
  <si>
    <t>Table 2.5.4: People aged 3-22 in school and out of school by official school age in 2022/23</t>
  </si>
  <si>
    <r>
      <t>Age group</t>
    </r>
    <r>
      <rPr>
        <sz val="12"/>
        <color rgb="FF000000"/>
        <rFont val="Roboto Condensed"/>
        <charset val="1"/>
      </rPr>
      <t> </t>
    </r>
  </si>
  <si>
    <r>
      <t>18-22 years</t>
    </r>
    <r>
      <rPr>
        <sz val="12"/>
        <color rgb="FF000000"/>
        <rFont val="Roboto Condensed"/>
        <charset val="1"/>
      </rPr>
      <t> </t>
    </r>
  </si>
  <si>
    <r>
      <t>Total populations**</t>
    </r>
    <r>
      <rPr>
        <sz val="12"/>
        <color rgb="FF000000"/>
        <rFont val="Roboto Condensed"/>
        <charset val="1"/>
      </rPr>
      <t> </t>
    </r>
  </si>
  <si>
    <r>
      <t>Male</t>
    </r>
    <r>
      <rPr>
        <sz val="12"/>
        <color rgb="FF000000"/>
        <rFont val="Roboto Condensed"/>
        <charset val="1"/>
      </rPr>
      <t> </t>
    </r>
  </si>
  <si>
    <r>
      <t>Female</t>
    </r>
    <r>
      <rPr>
        <sz val="12"/>
        <color rgb="FF000000"/>
        <rFont val="Roboto Condensed"/>
        <charset val="1"/>
      </rPr>
      <t> </t>
    </r>
  </si>
  <si>
    <r>
      <t>In school *</t>
    </r>
    <r>
      <rPr>
        <sz val="12"/>
        <color rgb="FF000000"/>
        <rFont val="Roboto Condensed"/>
        <charset val="1"/>
      </rPr>
      <t> </t>
    </r>
  </si>
  <si>
    <r>
      <t>Out of school </t>
    </r>
    <r>
      <rPr>
        <sz val="12"/>
        <color rgb="FF000000"/>
        <rFont val="Roboto Condensed"/>
        <charset val="1"/>
      </rPr>
      <t> </t>
    </r>
  </si>
  <si>
    <r>
      <t>Source:</t>
    </r>
    <r>
      <rPr>
        <i/>
        <sz val="10"/>
        <rFont val="Roboto Condensed"/>
      </rPr>
      <t xml:space="preserve"> *School census, Ministry of Education, **RPHC5 population census, 2022 (NISR)</t>
    </r>
    <r>
      <rPr>
        <sz val="10"/>
        <rFont val="Roboto Condensed"/>
      </rPr>
      <t> </t>
    </r>
  </si>
  <si>
    <t xml:space="preserve">Table 2.5.5: Participation rate for children aged 3 - 6 years </t>
  </si>
  <si>
    <r>
      <t>2021</t>
    </r>
    <r>
      <rPr>
        <sz val="11"/>
        <color rgb="FF000000"/>
        <rFont val="Roboto Condensed"/>
        <charset val="1"/>
      </rPr>
      <t> </t>
    </r>
  </si>
  <si>
    <r>
      <t>2022</t>
    </r>
    <r>
      <rPr>
        <sz val="11"/>
        <color rgb="FF000000"/>
        <rFont val="Roboto Condensed"/>
        <charset val="1"/>
      </rPr>
      <t> </t>
    </r>
  </si>
  <si>
    <r>
      <t>2023</t>
    </r>
    <r>
      <rPr>
        <sz val="11"/>
        <color rgb="FF000000"/>
        <rFont val="Roboto Condensed"/>
        <charset val="1"/>
      </rPr>
      <t> </t>
    </r>
  </si>
  <si>
    <r>
      <t>Preprimary age group</t>
    </r>
    <r>
      <rPr>
        <sz val="11"/>
        <color rgb="FF000000"/>
        <rFont val="Roboto Condensed"/>
        <charset val="1"/>
      </rPr>
      <t> </t>
    </r>
  </si>
  <si>
    <r>
      <t>4-6 years</t>
    </r>
    <r>
      <rPr>
        <sz val="11"/>
        <color rgb="FF000000"/>
        <rFont val="Roboto Condensed"/>
        <charset val="1"/>
      </rPr>
      <t> </t>
    </r>
  </si>
  <si>
    <r>
      <t>3-5 years</t>
    </r>
    <r>
      <rPr>
        <sz val="11"/>
        <color rgb="FF000000"/>
        <rFont val="Roboto Condensed"/>
        <charset val="1"/>
      </rPr>
      <t> </t>
    </r>
  </si>
  <si>
    <r>
      <t>Overall</t>
    </r>
    <r>
      <rPr>
        <sz val="11"/>
        <color rgb="FF000000"/>
        <rFont val="Roboto Condensed"/>
        <charset val="1"/>
      </rPr>
      <t> </t>
    </r>
  </si>
  <si>
    <r>
      <t>Male</t>
    </r>
    <r>
      <rPr>
        <sz val="11"/>
        <color rgb="FF000000"/>
        <rFont val="Roboto Condensed"/>
        <charset val="1"/>
      </rPr>
      <t> </t>
    </r>
  </si>
  <si>
    <r>
      <t>Female</t>
    </r>
    <r>
      <rPr>
        <sz val="11"/>
        <color rgb="FF000000"/>
        <rFont val="Roboto Condensed"/>
        <charset val="1"/>
      </rPr>
      <t> </t>
    </r>
  </si>
  <si>
    <r>
      <t>One year before primary</t>
    </r>
    <r>
      <rPr>
        <sz val="11"/>
        <color rgb="FF000000"/>
        <rFont val="Roboto Condensed"/>
        <charset val="1"/>
      </rPr>
      <t> </t>
    </r>
  </si>
  <si>
    <r>
      <t>6 years</t>
    </r>
    <r>
      <rPr>
        <sz val="11"/>
        <color rgb="FF000000"/>
        <rFont val="Roboto Condensed"/>
        <charset val="1"/>
      </rPr>
      <t> </t>
    </r>
  </si>
  <si>
    <r>
      <t>5 years</t>
    </r>
    <r>
      <rPr>
        <sz val="11"/>
        <color rgb="FF000000"/>
        <rFont val="Roboto Condensed"/>
        <charset val="1"/>
      </rPr>
      <t> </t>
    </r>
  </si>
  <si>
    <r>
      <t>Source:</t>
    </r>
    <r>
      <rPr>
        <sz val="10"/>
        <rFont val="Roboto Condensed"/>
      </rPr>
      <t xml:space="preserve"> *School census, Ministry of Education, **Population Census 2012, 2022 (NISR) </t>
    </r>
  </si>
  <si>
    <r>
      <t>Primary age group</t>
    </r>
    <r>
      <rPr>
        <sz val="11"/>
        <color rgb="FF000000"/>
        <rFont val="Roboto Condensed"/>
        <charset val="1"/>
      </rPr>
      <t> </t>
    </r>
  </si>
  <si>
    <r>
      <t>7-12 years</t>
    </r>
    <r>
      <rPr>
        <sz val="11"/>
        <color rgb="FF000000"/>
        <rFont val="Roboto Condensed"/>
        <charset val="1"/>
      </rPr>
      <t> </t>
    </r>
  </si>
  <si>
    <r>
      <t>6-11 years</t>
    </r>
    <r>
      <rPr>
        <sz val="11"/>
        <color rgb="FF000000"/>
        <rFont val="Roboto Condensed"/>
        <charset val="1"/>
      </rPr>
      <t> </t>
    </r>
  </si>
  <si>
    <r>
      <t>Secondary age group</t>
    </r>
    <r>
      <rPr>
        <sz val="11"/>
        <color rgb="FF000000"/>
        <rFont val="Roboto Condensed"/>
        <charset val="1"/>
      </rPr>
      <t> </t>
    </r>
  </si>
  <si>
    <r>
      <t>13-18 years</t>
    </r>
    <r>
      <rPr>
        <sz val="11"/>
        <color rgb="FF000000"/>
        <rFont val="Roboto Condensed"/>
        <charset val="1"/>
      </rPr>
      <t> </t>
    </r>
  </si>
  <si>
    <r>
      <t>12-17 years</t>
    </r>
    <r>
      <rPr>
        <sz val="11"/>
        <color rgb="FF000000"/>
        <rFont val="Roboto Condensed"/>
        <charset val="1"/>
      </rPr>
      <t> </t>
    </r>
  </si>
  <si>
    <r>
      <t>Primary and secondary age group</t>
    </r>
    <r>
      <rPr>
        <sz val="11"/>
        <color rgb="FF000000"/>
        <rFont val="Roboto Condensed"/>
        <charset val="1"/>
      </rPr>
      <t> </t>
    </r>
  </si>
  <si>
    <r>
      <t>7-18 years</t>
    </r>
    <r>
      <rPr>
        <sz val="11"/>
        <color rgb="FF000000"/>
        <rFont val="Roboto Condensed"/>
        <charset val="1"/>
      </rPr>
      <t> </t>
    </r>
  </si>
  <si>
    <r>
      <t>6-17 years</t>
    </r>
    <r>
      <rPr>
        <sz val="11"/>
        <color rgb="FF000000"/>
        <rFont val="Roboto Condensed"/>
        <charset val="1"/>
      </rPr>
      <t> </t>
    </r>
  </si>
  <si>
    <t>Table 2.5.7: Participation rate for people aged 3 - 23</t>
  </si>
  <si>
    <r>
      <t>Youth age group</t>
    </r>
    <r>
      <rPr>
        <sz val="11"/>
        <color rgb="FF000000"/>
        <rFont val="Roboto Condensed"/>
        <charset val="1"/>
      </rPr>
      <t> </t>
    </r>
  </si>
  <si>
    <r>
      <t>15-24 years</t>
    </r>
    <r>
      <rPr>
        <sz val="11"/>
        <color rgb="FF000000"/>
        <rFont val="Roboto Condensed"/>
        <charset val="1"/>
      </rPr>
      <t> </t>
    </r>
  </si>
  <si>
    <r>
      <t>Higher education age group</t>
    </r>
    <r>
      <rPr>
        <sz val="11"/>
        <color rgb="FF000000"/>
        <rFont val="Roboto Condensed"/>
        <charset val="1"/>
      </rPr>
      <t> </t>
    </r>
  </si>
  <si>
    <r>
      <t>19-23 years</t>
    </r>
    <r>
      <rPr>
        <sz val="11"/>
        <color rgb="FF000000"/>
        <rFont val="Roboto Condensed"/>
        <charset val="1"/>
      </rPr>
      <t> </t>
    </r>
  </si>
  <si>
    <r>
      <t>18-22 years</t>
    </r>
    <r>
      <rPr>
        <sz val="11"/>
        <color rgb="FF000000"/>
        <rFont val="Roboto Condensed"/>
        <charset val="1"/>
      </rPr>
      <t> </t>
    </r>
  </si>
  <si>
    <r>
      <t>School age group</t>
    </r>
    <r>
      <rPr>
        <sz val="11"/>
        <color rgb="FF000000"/>
        <rFont val="Roboto Condensed"/>
        <charset val="1"/>
      </rPr>
      <t> </t>
    </r>
  </si>
  <si>
    <r>
      <t>4-23 years</t>
    </r>
    <r>
      <rPr>
        <sz val="11"/>
        <color rgb="FF000000"/>
        <rFont val="Roboto Condensed"/>
        <charset val="1"/>
      </rPr>
      <t> </t>
    </r>
  </si>
  <si>
    <r>
      <t>3-22 years</t>
    </r>
    <r>
      <rPr>
        <sz val="11"/>
        <color rgb="FF000000"/>
        <rFont val="Roboto Condensed"/>
        <charset val="1"/>
      </rPr>
      <t> </t>
    </r>
  </si>
  <si>
    <t>Age range</t>
  </si>
  <si>
    <t>4-18 years</t>
  </si>
  <si>
    <t>3-17 years</t>
  </si>
  <si>
    <t>Gross Enrolment Rate (Overall)</t>
  </si>
  <si>
    <t>GER Male</t>
  </si>
  <si>
    <t>GER Female</t>
  </si>
  <si>
    <t>Net Enrolment Rate (Overall)</t>
  </si>
  <si>
    <t>NER Male</t>
  </si>
  <si>
    <t>NER Female</t>
  </si>
  <si>
    <r>
      <t>Source:</t>
    </r>
    <r>
      <rPr>
        <i/>
        <sz val="10"/>
        <rFont val="Roboto Condensed"/>
      </rPr>
      <t xml:space="preserve"> *School census, Ministry of Education, **Population Census 2012, 2022 (NISR) </t>
    </r>
  </si>
  <si>
    <t xml:space="preserve">Age range </t>
  </si>
  <si>
    <t>4-6 years</t>
  </si>
  <si>
    <t>3-5 years</t>
  </si>
  <si>
    <t>53.3% </t>
  </si>
  <si>
    <r>
      <t>Source</t>
    </r>
    <r>
      <rPr>
        <i/>
        <sz val="10"/>
        <rFont val="Roboto Condensed"/>
      </rPr>
      <t>: *School census, Ministry of Education, ****Population Census 2012, 2022 (NISR) </t>
    </r>
  </si>
  <si>
    <t>7-12 years</t>
  </si>
  <si>
    <t>6-11 years</t>
  </si>
  <si>
    <r>
      <t>Table 2.6.4</t>
    </r>
    <r>
      <rPr>
        <sz val="12"/>
        <rFont val="Roboto Condensed"/>
      </rPr>
      <t xml:space="preserve">: </t>
    </r>
    <r>
      <rPr>
        <b/>
        <sz val="12"/>
        <rFont val="Roboto Condensed"/>
      </rPr>
      <t>Secondary Gross and Net enrollment rate </t>
    </r>
  </si>
  <si>
    <t>Secondary NER &amp; GER</t>
  </si>
  <si>
    <t>13-18 years</t>
  </si>
  <si>
    <t>12-17 years</t>
  </si>
  <si>
    <t>Lower secondary NER &amp; GER</t>
  </si>
  <si>
    <t>13-15 years</t>
  </si>
  <si>
    <t>12-14 years</t>
  </si>
  <si>
    <r>
      <t>Table 2.6.6: Upper secondary Gross and Net enrollment rate</t>
    </r>
    <r>
      <rPr>
        <sz val="12"/>
        <rFont val="Roboto Condensed"/>
      </rPr>
      <t> </t>
    </r>
  </si>
  <si>
    <t>Upper secondary NER &amp; GER</t>
  </si>
  <si>
    <t>16-18 years</t>
  </si>
  <si>
    <t>15-17 years</t>
  </si>
  <si>
    <t>6.8% </t>
  </si>
  <si>
    <t>Table 2.6.7: Higher education GER and students per 100,000 inhabitants</t>
  </si>
  <si>
    <r>
      <t>Indicator/Year</t>
    </r>
    <r>
      <rPr>
        <sz val="12"/>
        <color rgb="FF000000"/>
        <rFont val="Roboto Condensed"/>
        <charset val="1"/>
      </rPr>
      <t> </t>
    </r>
  </si>
  <si>
    <r>
      <t>2016/17</t>
    </r>
    <r>
      <rPr>
        <sz val="12"/>
        <color rgb="FF000000"/>
        <rFont val="Roboto Condensed"/>
        <charset val="1"/>
      </rPr>
      <t> </t>
    </r>
  </si>
  <si>
    <r>
      <t>2017/18</t>
    </r>
    <r>
      <rPr>
        <sz val="12"/>
        <color rgb="FF000000"/>
        <rFont val="Roboto Condensed"/>
        <charset val="1"/>
      </rPr>
      <t> </t>
    </r>
  </si>
  <si>
    <r>
      <t>2018/19</t>
    </r>
    <r>
      <rPr>
        <sz val="12"/>
        <color rgb="FF000000"/>
        <rFont val="Roboto Condensed"/>
        <charset val="1"/>
      </rPr>
      <t> </t>
    </r>
  </si>
  <si>
    <r>
      <t>2020/21</t>
    </r>
    <r>
      <rPr>
        <sz val="12"/>
        <color rgb="FF000000"/>
        <rFont val="Roboto Condensed"/>
        <charset val="1"/>
      </rPr>
      <t> </t>
    </r>
  </si>
  <si>
    <r>
      <t>2021/22</t>
    </r>
    <r>
      <rPr>
        <sz val="12"/>
        <color rgb="FF000000"/>
        <rFont val="Roboto Condensed"/>
        <charset val="1"/>
      </rPr>
      <t> </t>
    </r>
  </si>
  <si>
    <r>
      <t>Age range </t>
    </r>
    <r>
      <rPr>
        <sz val="12"/>
        <color rgb="FF000000"/>
        <rFont val="Roboto Condensed"/>
        <charset val="1"/>
      </rPr>
      <t> </t>
    </r>
  </si>
  <si>
    <r>
      <t>19-23 years</t>
    </r>
    <r>
      <rPr>
        <sz val="12"/>
        <color rgb="FF000000"/>
        <rFont val="Roboto Condensed"/>
        <charset val="1"/>
      </rPr>
      <t> </t>
    </r>
  </si>
  <si>
    <r>
      <t>Gross enrollment rate in HEIs</t>
    </r>
    <r>
      <rPr>
        <sz val="12"/>
        <color rgb="FF000000"/>
        <rFont val="Roboto Condensed"/>
        <charset val="1"/>
      </rPr>
      <t> </t>
    </r>
  </si>
  <si>
    <r>
      <t>students per 100,000 inhabitants</t>
    </r>
    <r>
      <rPr>
        <sz val="12"/>
        <color rgb="FF000000"/>
        <rFont val="Roboto Condensed"/>
        <charset val="1"/>
      </rPr>
      <t> </t>
    </r>
  </si>
  <si>
    <r>
      <t>Students per 100,000 inhabitants</t>
    </r>
    <r>
      <rPr>
        <sz val="12"/>
        <color rgb="FF000000"/>
        <rFont val="Roboto Condensed"/>
        <charset val="1"/>
      </rPr>
      <t> </t>
    </r>
  </si>
  <si>
    <r>
      <t>Source:</t>
    </r>
    <r>
      <rPr>
        <i/>
        <sz val="10"/>
        <color rgb="FF000000"/>
        <rFont val="Roboto Condensed"/>
      </rPr>
      <t xml:space="preserve"> *School census, Ministry of Education, **RPHC4_population projection, 2012 (NISR)</t>
    </r>
    <r>
      <rPr>
        <sz val="10"/>
        <color rgb="FF000000"/>
        <rFont val="Roboto Condensed"/>
      </rPr>
      <t> </t>
    </r>
  </si>
  <si>
    <t>Indicators</t>
  </si>
  <si>
    <t>GPI in NER at Preprimary</t>
  </si>
  <si>
    <t>GPI in NER at Primary</t>
  </si>
  <si>
    <t>GPI in NER at Lower Secondary</t>
  </si>
  <si>
    <t>GPI in NER at Upper Secondary</t>
  </si>
  <si>
    <t>GPI in TVET enrolment</t>
  </si>
  <si>
    <t>GPI in GER at Higher Education</t>
  </si>
  <si>
    <t>20222/23</t>
  </si>
  <si>
    <t>Age</t>
  </si>
  <si>
    <t>7 years</t>
  </si>
  <si>
    <t>6 years</t>
  </si>
  <si>
    <t>Gross Intake Rate in P1 (Overall)</t>
  </si>
  <si>
    <t>GIR_P1 Male</t>
  </si>
  <si>
    <t>GIR_P1 Female</t>
  </si>
  <si>
    <t>Net Intake Rate in P1 (Overall)</t>
  </si>
  <si>
    <t>NIR_P1 Male</t>
  </si>
  <si>
    <t>NIR_P1 Female</t>
  </si>
  <si>
    <t>12 years</t>
  </si>
  <si>
    <t>11 years</t>
  </si>
  <si>
    <t>Gross Intake Rate in P6 (Overall)</t>
  </si>
  <si>
    <t>GIR_P6 Male</t>
  </si>
  <si>
    <t>GIR_P6 Female</t>
  </si>
  <si>
    <t>Net Intake Rate in P6 (Overall)</t>
  </si>
  <si>
    <t>NIR_P6 Male</t>
  </si>
  <si>
    <t>NIR_P6 Female</t>
  </si>
  <si>
    <r>
      <t>Source:</t>
    </r>
    <r>
      <rPr>
        <sz val="10"/>
        <color rgb="FF000000"/>
        <rFont val="Roboto Condensed"/>
      </rPr>
      <t xml:space="preserve"> *School census, Ministry of Education, **Population Census, 2012, 2022 (NISR) </t>
    </r>
  </si>
  <si>
    <t>13 years</t>
  </si>
  <si>
    <t>Gross Intake Rate in S1 (Overall)</t>
  </si>
  <si>
    <t>GIR_S1 Male</t>
  </si>
  <si>
    <t>GIR_S1 Female</t>
  </si>
  <si>
    <t>Net Intake Rate in S1 (Overall)</t>
  </si>
  <si>
    <t>NIR_S1 Male</t>
  </si>
  <si>
    <t>NIR_S1 Female</t>
  </si>
  <si>
    <r>
      <t>Source:</t>
    </r>
    <r>
      <rPr>
        <i/>
        <sz val="10"/>
        <color rgb="FF000000"/>
        <rFont val="Roboto Condensed"/>
      </rPr>
      <t xml:space="preserve"> *School census, Ministry of Education, **Population Census, 2012, 2022 (NISR)</t>
    </r>
  </si>
  <si>
    <t>15 years</t>
  </si>
  <si>
    <t>14 years</t>
  </si>
  <si>
    <t>Gross Intake Rate in S3 (Overall)</t>
  </si>
  <si>
    <t>GIR_S3 Male</t>
  </si>
  <si>
    <t>GIR_S3 Female</t>
  </si>
  <si>
    <t>Net Intake Rate in S3 (Overall)</t>
  </si>
  <si>
    <t>NIR_S3 Male</t>
  </si>
  <si>
    <t>NIR_S3 Female</t>
  </si>
  <si>
    <r>
      <t>Source:</t>
    </r>
    <r>
      <rPr>
        <i/>
        <sz val="10"/>
        <color rgb="FF000000"/>
        <rFont val="Roboto Condensed"/>
      </rPr>
      <t xml:space="preserve"> *School census, Ministry of Education, **Population Census, 2012, 2022 (NISR) </t>
    </r>
  </si>
  <si>
    <t>18 years</t>
  </si>
  <si>
    <t>17 years</t>
  </si>
  <si>
    <t>Gross Intake Rate in S6 (Overall)</t>
  </si>
  <si>
    <t>GIR_S6 Male</t>
  </si>
  <si>
    <t>GIR_S6 Female</t>
  </si>
  <si>
    <t>Net Intake Rate in S6 (Overall)</t>
  </si>
  <si>
    <t>NIR_S6 Male</t>
  </si>
  <si>
    <t>NIR_S6 Female</t>
  </si>
  <si>
    <t>Period</t>
  </si>
  <si>
    <t>2006-2017</t>
  </si>
  <si>
    <t>2007-2018</t>
  </si>
  <si>
    <t>2008-2019</t>
  </si>
  <si>
    <t>2009-2020/21</t>
  </si>
  <si>
    <t>2010-2021/22</t>
  </si>
  <si>
    <t>2011-2022/23</t>
  </si>
  <si>
    <t>Entry P1</t>
  </si>
  <si>
    <t>Exit S6</t>
  </si>
  <si>
    <t>Proportion</t>
  </si>
  <si>
    <t>2012-2017</t>
  </si>
  <si>
    <t>2013-2018</t>
  </si>
  <si>
    <t>2014-2019</t>
  </si>
  <si>
    <t>2015-2020/21</t>
  </si>
  <si>
    <t>2016-2021/22</t>
  </si>
  <si>
    <t>2017-2022/23</t>
  </si>
  <si>
    <t>Exit P6</t>
  </si>
  <si>
    <t>Entry S1</t>
  </si>
  <si>
    <r>
      <t>Table 2.9.1:</t>
    </r>
    <r>
      <rPr>
        <sz val="12"/>
        <rFont val="Roboto Condensed"/>
      </rPr>
      <t xml:space="preserve"> </t>
    </r>
    <r>
      <rPr>
        <b/>
        <sz val="12"/>
        <rFont val="Roboto Condensed"/>
      </rPr>
      <t>National average for Promotion, repetition, and dropout rate</t>
    </r>
    <r>
      <rPr>
        <sz val="12"/>
        <rFont val="Roboto Condensed"/>
      </rPr>
      <t> </t>
    </r>
  </si>
  <si>
    <r>
      <t>2019/20</t>
    </r>
    <r>
      <rPr>
        <sz val="12"/>
        <color rgb="FF000000"/>
        <rFont val="Roboto Condensed"/>
        <charset val="1"/>
      </rPr>
      <t> </t>
    </r>
  </si>
  <si>
    <r>
      <t>Promotion rate</t>
    </r>
    <r>
      <rPr>
        <sz val="12"/>
        <color rgb="FF000000"/>
        <rFont val="Roboto Condensed"/>
        <charset val="1"/>
      </rPr>
      <t> </t>
    </r>
  </si>
  <si>
    <r>
      <t>Repetition Rate </t>
    </r>
    <r>
      <rPr>
        <sz val="12"/>
        <color rgb="FF000000"/>
        <rFont val="Roboto Condensed"/>
        <charset val="1"/>
      </rPr>
      <t> </t>
    </r>
  </si>
  <si>
    <r>
      <t>Dropout Rate </t>
    </r>
    <r>
      <rPr>
        <sz val="12"/>
        <color rgb="FF000000"/>
        <rFont val="Roboto Condensed"/>
        <charset val="1"/>
      </rPr>
      <t> </t>
    </r>
  </si>
  <si>
    <t>4.9% </t>
  </si>
  <si>
    <r>
      <t>Source:</t>
    </r>
    <r>
      <rPr>
        <i/>
        <sz val="10"/>
        <rFont val="Roboto Condensed"/>
      </rPr>
      <t xml:space="preserve"> School census, Ministry of Education </t>
    </r>
  </si>
  <si>
    <t>17.7% </t>
  </si>
  <si>
    <t>5.9% </t>
  </si>
  <si>
    <t>5.1% </t>
  </si>
  <si>
    <r>
      <t>Table 2.9.3</t>
    </r>
    <r>
      <rPr>
        <sz val="12"/>
        <rFont val="Roboto Condensed"/>
      </rPr>
      <t xml:space="preserve">: </t>
    </r>
    <r>
      <rPr>
        <b/>
        <sz val="12"/>
        <rFont val="Roboto Condensed"/>
      </rPr>
      <t>Promotion, repetition, and dropout rate in secondary schools </t>
    </r>
  </si>
  <si>
    <t>2019/20</t>
  </si>
  <si>
    <t>Promotion rate</t>
  </si>
  <si>
    <t xml:space="preserve">Repetition Rate </t>
  </si>
  <si>
    <t xml:space="preserve">Dropout Rate </t>
  </si>
  <si>
    <t>INDICATOR/YEAR</t>
  </si>
  <si>
    <t>Sat for exams</t>
  </si>
  <si>
    <t>Passed the exam</t>
  </si>
  <si>
    <t>National exams pass rate</t>
  </si>
  <si>
    <r>
      <t xml:space="preserve">Table 2.10.2: </t>
    </r>
    <r>
      <rPr>
        <b/>
        <sz val="12"/>
        <color rgb="FF000000"/>
        <rFont val="Roboto Condensed"/>
      </rPr>
      <t>National examination results for lower secondary (S3) </t>
    </r>
  </si>
  <si>
    <t>National exam pass rate</t>
  </si>
  <si>
    <r>
      <t xml:space="preserve">Table 2.10.3: </t>
    </r>
    <r>
      <rPr>
        <b/>
        <sz val="12"/>
        <color rgb="FF000000"/>
        <rFont val="Roboto Condensed"/>
      </rPr>
      <t>Upper secondary national examination results</t>
    </r>
  </si>
  <si>
    <r>
      <t xml:space="preserve">Table 2.10.4: </t>
    </r>
    <r>
      <rPr>
        <b/>
        <sz val="12"/>
        <color rgb="FF000000"/>
        <rFont val="Roboto Condensed"/>
      </rPr>
      <t>General upper secondary national examination results (S6)</t>
    </r>
  </si>
  <si>
    <r>
      <t>Table 2.10.5</t>
    </r>
    <r>
      <rPr>
        <sz val="12"/>
        <color theme="1"/>
        <rFont val="Roboto Condensed"/>
      </rPr>
      <t xml:space="preserve">: </t>
    </r>
    <r>
      <rPr>
        <b/>
        <sz val="12"/>
        <color rgb="FF000000"/>
        <rFont val="Roboto Condensed"/>
      </rPr>
      <t>National examination results in TTCs (Y3)</t>
    </r>
  </si>
  <si>
    <r>
      <t xml:space="preserve">Table 2.10.6: </t>
    </r>
    <r>
      <rPr>
        <b/>
        <sz val="12"/>
        <color rgb="FF000000"/>
        <rFont val="Roboto Condensed"/>
      </rPr>
      <t>National examination results in TVET(L5)</t>
    </r>
  </si>
  <si>
    <t>2015/16</t>
  </si>
  <si>
    <t xml:space="preserve">Total graduates in Higher Education </t>
  </si>
  <si>
    <t xml:space="preserve">In Public institutions </t>
  </si>
  <si>
    <t>In Private institutions</t>
  </si>
  <si>
    <t>Table 2.10.8: Polytechnics graduates</t>
  </si>
  <si>
    <t>Description/year</t>
  </si>
  <si>
    <t>Total graduates in Polytechnics</t>
  </si>
  <si>
    <t>In Public institutions</t>
  </si>
  <si>
    <t>Table 2.10.9: General Higher Education graduates</t>
  </si>
  <si>
    <t>Total graduates in General Higher Education</t>
  </si>
  <si>
    <t>In Public institution</t>
  </si>
  <si>
    <t>Table 2.10.10: Higher education graduates by exit award</t>
  </si>
  <si>
    <t>Exit award</t>
  </si>
  <si>
    <t>Total </t>
  </si>
  <si>
    <t>Certificate</t>
  </si>
  <si>
    <t>Diploma</t>
  </si>
  <si>
    <t>Advanced Diploma</t>
  </si>
  <si>
    <t>Bachelor's Degree</t>
  </si>
  <si>
    <t>Postgraduate Certificate</t>
  </si>
  <si>
    <t>Postgraduate Diploma</t>
  </si>
  <si>
    <t>Masters</t>
  </si>
  <si>
    <t>PhD</t>
  </si>
  <si>
    <t>Field of education</t>
  </si>
  <si>
    <t>Arts and humanities</t>
  </si>
  <si>
    <t>Social Sciences, journalism and information</t>
  </si>
  <si>
    <t>Engineering, Manufacturing, and construction</t>
  </si>
  <si>
    <t>Agriculture, Forestry, fisheries and veterinary</t>
  </si>
  <si>
    <t>Service</t>
  </si>
  <si>
    <r>
      <t xml:space="preserve">Table 2.10.12: </t>
    </r>
    <r>
      <rPr>
        <sz val="12"/>
        <color theme="1"/>
        <rFont val="Roboto Condensed"/>
      </rPr>
      <t xml:space="preserve"> </t>
    </r>
    <r>
      <rPr>
        <b/>
        <sz val="12"/>
        <color theme="1"/>
        <rFont val="Roboto Condensed"/>
      </rPr>
      <t>STEM graduates in Higher education institutions</t>
    </r>
  </si>
  <si>
    <t>2021/22 </t>
  </si>
  <si>
    <t>Total STEM graduates</t>
  </si>
  <si>
    <t>Table 2.10.13: Percentage of STEM graduates in Higher education institutions</t>
  </si>
  <si>
    <t>Total percentage</t>
  </si>
  <si>
    <t>49.6% </t>
  </si>
  <si>
    <t>56.7% </t>
  </si>
  <si>
    <t>40.7% </t>
  </si>
  <si>
    <t>70.7% </t>
  </si>
  <si>
    <t>74.0% </t>
  </si>
  <si>
    <t>64.2% </t>
  </si>
  <si>
    <t>40.8% </t>
  </si>
  <si>
    <t>30.6% </t>
  </si>
  <si>
    <t>Table 2.10.14: Adult Literacy learners who received their certificates.</t>
  </si>
  <si>
    <t>Total graduate</t>
  </si>
  <si>
    <t xml:space="preserve"> Male</t>
  </si>
  <si>
    <t xml:space="preserve"> Female</t>
  </si>
  <si>
    <r>
      <t>Indicator</t>
    </r>
    <r>
      <rPr>
        <sz val="12"/>
        <color rgb="FF000000"/>
        <rFont val="Roboto Condensed"/>
        <charset val="1"/>
      </rPr>
      <t> </t>
    </r>
  </si>
  <si>
    <r>
      <t>2017</t>
    </r>
    <r>
      <rPr>
        <sz val="12"/>
        <color rgb="FF000000"/>
        <rFont val="Roboto Condensed"/>
        <charset val="1"/>
      </rPr>
      <t> </t>
    </r>
  </si>
  <si>
    <r>
      <t>2018</t>
    </r>
    <r>
      <rPr>
        <sz val="12"/>
        <color rgb="FF000000"/>
        <rFont val="Roboto Condensed"/>
        <charset val="1"/>
      </rPr>
      <t> </t>
    </r>
  </si>
  <si>
    <r>
      <t>2019</t>
    </r>
    <r>
      <rPr>
        <sz val="12"/>
        <color rgb="FF000000"/>
        <rFont val="Roboto Condensed"/>
        <charset val="1"/>
      </rPr>
      <t> </t>
    </r>
  </si>
  <si>
    <r>
      <t>Number of newly admitted pupils in P1</t>
    </r>
    <r>
      <rPr>
        <sz val="12"/>
        <color rgb="FF000000"/>
        <rFont val="Roboto Condensed"/>
        <charset val="1"/>
      </rPr>
      <t> </t>
    </r>
  </si>
  <si>
    <r>
      <t>362,706</t>
    </r>
    <r>
      <rPr>
        <sz val="12"/>
        <color rgb="FF000000"/>
        <rFont val="Roboto Condensed"/>
        <charset val="1"/>
      </rPr>
      <t> </t>
    </r>
  </si>
  <si>
    <r>
      <t>415,921</t>
    </r>
    <r>
      <rPr>
        <sz val="12"/>
        <color rgb="FF000000"/>
        <rFont val="Roboto Condensed"/>
        <charset val="1"/>
      </rPr>
      <t> </t>
    </r>
  </si>
  <si>
    <r>
      <t>416,163</t>
    </r>
    <r>
      <rPr>
        <sz val="12"/>
        <color rgb="FF000000"/>
        <rFont val="Roboto Condensed"/>
        <charset val="1"/>
      </rPr>
      <t> </t>
    </r>
  </si>
  <si>
    <r>
      <t>695,697</t>
    </r>
    <r>
      <rPr>
        <sz val="12"/>
        <color rgb="FF000000"/>
        <rFont val="Roboto Condensed"/>
        <charset val="1"/>
      </rPr>
      <t> </t>
    </r>
  </si>
  <si>
    <r>
      <t>459,681</t>
    </r>
    <r>
      <rPr>
        <sz val="12"/>
        <color rgb="FF000000"/>
        <rFont val="Roboto Condensed"/>
        <charset val="1"/>
      </rPr>
      <t> </t>
    </r>
  </si>
  <si>
    <r>
      <t>525,922</t>
    </r>
    <r>
      <rPr>
        <sz val="12"/>
        <color rgb="FF000000"/>
        <rFont val="Roboto Condensed"/>
        <charset val="1"/>
      </rPr>
      <t> </t>
    </r>
  </si>
  <si>
    <r>
      <t>185,916</t>
    </r>
    <r>
      <rPr>
        <sz val="12"/>
        <color rgb="FF000000"/>
        <rFont val="Roboto Condensed"/>
        <charset val="1"/>
      </rPr>
      <t> </t>
    </r>
  </si>
  <si>
    <r>
      <t>213,932</t>
    </r>
    <r>
      <rPr>
        <sz val="12"/>
        <color rgb="FF000000"/>
        <rFont val="Roboto Condensed"/>
        <charset val="1"/>
      </rPr>
      <t> </t>
    </r>
  </si>
  <si>
    <r>
      <t>214,131</t>
    </r>
    <r>
      <rPr>
        <sz val="12"/>
        <color rgb="FF000000"/>
        <rFont val="Roboto Condensed"/>
        <charset val="1"/>
      </rPr>
      <t> </t>
    </r>
  </si>
  <si>
    <r>
      <t>352,573</t>
    </r>
    <r>
      <rPr>
        <sz val="12"/>
        <color rgb="FF000000"/>
        <rFont val="Roboto Condensed"/>
        <charset val="1"/>
      </rPr>
      <t> </t>
    </r>
  </si>
  <si>
    <r>
      <t>237,537</t>
    </r>
    <r>
      <rPr>
        <sz val="12"/>
        <color rgb="FF000000"/>
        <rFont val="Roboto Condensed"/>
        <charset val="1"/>
      </rPr>
      <t> </t>
    </r>
  </si>
  <si>
    <r>
      <t>274,773</t>
    </r>
    <r>
      <rPr>
        <sz val="12"/>
        <color rgb="FF000000"/>
        <rFont val="Roboto Condensed"/>
        <charset val="1"/>
      </rPr>
      <t> </t>
    </r>
  </si>
  <si>
    <r>
      <t>176,790</t>
    </r>
    <r>
      <rPr>
        <sz val="12"/>
        <color rgb="FF000000"/>
        <rFont val="Roboto Condensed"/>
        <charset val="1"/>
      </rPr>
      <t> </t>
    </r>
  </si>
  <si>
    <r>
      <t>201,989</t>
    </r>
    <r>
      <rPr>
        <sz val="12"/>
        <color rgb="FF000000"/>
        <rFont val="Roboto Condensed"/>
        <charset val="1"/>
      </rPr>
      <t> </t>
    </r>
  </si>
  <si>
    <r>
      <t>202,032</t>
    </r>
    <r>
      <rPr>
        <sz val="12"/>
        <color rgb="FF000000"/>
        <rFont val="Roboto Condensed"/>
        <charset val="1"/>
      </rPr>
      <t> </t>
    </r>
  </si>
  <si>
    <r>
      <t>343,124</t>
    </r>
    <r>
      <rPr>
        <sz val="12"/>
        <color rgb="FF000000"/>
        <rFont val="Roboto Condensed"/>
        <charset val="1"/>
      </rPr>
      <t> </t>
    </r>
  </si>
  <si>
    <r>
      <t>222,144</t>
    </r>
    <r>
      <rPr>
        <sz val="12"/>
        <color rgb="FF000000"/>
        <rFont val="Roboto Condensed"/>
        <charset val="1"/>
      </rPr>
      <t> </t>
    </r>
  </si>
  <si>
    <r>
      <t>251,149</t>
    </r>
    <r>
      <rPr>
        <sz val="12"/>
        <color rgb="FF000000"/>
        <rFont val="Roboto Condensed"/>
        <charset val="1"/>
      </rPr>
      <t> </t>
    </r>
  </si>
  <si>
    <r>
      <t>Number of newly admitted pupils in P1 who attended Nursery</t>
    </r>
    <r>
      <rPr>
        <sz val="12"/>
        <color rgb="FF000000"/>
        <rFont val="Roboto Condensed"/>
        <charset val="1"/>
      </rPr>
      <t> </t>
    </r>
  </si>
  <si>
    <r>
      <t>101,912</t>
    </r>
    <r>
      <rPr>
        <sz val="12"/>
        <color rgb="FF000000"/>
        <rFont val="Roboto Condensed"/>
        <charset val="1"/>
      </rPr>
      <t> </t>
    </r>
  </si>
  <si>
    <r>
      <t>198,500</t>
    </r>
    <r>
      <rPr>
        <sz val="12"/>
        <color rgb="FF000000"/>
        <rFont val="Roboto Condensed"/>
        <charset val="1"/>
      </rPr>
      <t> </t>
    </r>
  </si>
  <si>
    <r>
      <t>211,440</t>
    </r>
    <r>
      <rPr>
        <sz val="12"/>
        <color rgb="FF000000"/>
        <rFont val="Roboto Condensed"/>
        <charset val="1"/>
      </rPr>
      <t> </t>
    </r>
  </si>
  <si>
    <r>
      <t>354,620</t>
    </r>
    <r>
      <rPr>
        <sz val="12"/>
        <color rgb="FF000000"/>
        <rFont val="Roboto Condensed"/>
        <charset val="1"/>
      </rPr>
      <t> </t>
    </r>
  </si>
  <si>
    <r>
      <t>241,671</t>
    </r>
    <r>
      <rPr>
        <sz val="12"/>
        <color rgb="FF000000"/>
        <rFont val="Roboto Condensed"/>
        <charset val="1"/>
      </rPr>
      <t> </t>
    </r>
  </si>
  <si>
    <r>
      <t>185,647</t>
    </r>
    <r>
      <rPr>
        <sz val="12"/>
        <color rgb="FF000000"/>
        <rFont val="Roboto Condensed"/>
        <charset val="1"/>
      </rPr>
      <t> </t>
    </r>
  </si>
  <si>
    <r>
      <t>51,050</t>
    </r>
    <r>
      <rPr>
        <sz val="12"/>
        <color rgb="FF000000"/>
        <rFont val="Roboto Condensed"/>
        <charset val="1"/>
      </rPr>
      <t> </t>
    </r>
  </si>
  <si>
    <r>
      <t>101,536</t>
    </r>
    <r>
      <rPr>
        <sz val="12"/>
        <color rgb="FF000000"/>
        <rFont val="Roboto Condensed"/>
        <charset val="1"/>
      </rPr>
      <t> </t>
    </r>
  </si>
  <si>
    <r>
      <t>107,832</t>
    </r>
    <r>
      <rPr>
        <sz val="12"/>
        <color rgb="FF000000"/>
        <rFont val="Roboto Condensed"/>
        <charset val="1"/>
      </rPr>
      <t> </t>
    </r>
  </si>
  <si>
    <r>
      <t>188,373</t>
    </r>
    <r>
      <rPr>
        <sz val="12"/>
        <color rgb="FF000000"/>
        <rFont val="Roboto Condensed"/>
        <charset val="1"/>
      </rPr>
      <t> </t>
    </r>
  </si>
  <si>
    <r>
      <t>129,933</t>
    </r>
    <r>
      <rPr>
        <sz val="12"/>
        <color rgb="FF000000"/>
        <rFont val="Roboto Condensed"/>
        <charset val="1"/>
      </rPr>
      <t> </t>
    </r>
  </si>
  <si>
    <r>
      <t>92,578</t>
    </r>
    <r>
      <rPr>
        <sz val="12"/>
        <color rgb="FF000000"/>
        <rFont val="Roboto Condensed"/>
        <charset val="1"/>
      </rPr>
      <t> </t>
    </r>
  </si>
  <si>
    <r>
      <t>50,862</t>
    </r>
    <r>
      <rPr>
        <sz val="12"/>
        <color rgb="FF000000"/>
        <rFont val="Roboto Condensed"/>
        <charset val="1"/>
      </rPr>
      <t> </t>
    </r>
  </si>
  <si>
    <r>
      <t>96,964</t>
    </r>
    <r>
      <rPr>
        <sz val="12"/>
        <color rgb="FF000000"/>
        <rFont val="Roboto Condensed"/>
        <charset val="1"/>
      </rPr>
      <t> </t>
    </r>
  </si>
  <si>
    <r>
      <t>103,608</t>
    </r>
    <r>
      <rPr>
        <sz val="12"/>
        <color rgb="FF000000"/>
        <rFont val="Roboto Condensed"/>
        <charset val="1"/>
      </rPr>
      <t> </t>
    </r>
  </si>
  <si>
    <r>
      <t>166,247</t>
    </r>
    <r>
      <rPr>
        <sz val="12"/>
        <color rgb="FF000000"/>
        <rFont val="Roboto Condensed"/>
        <charset val="1"/>
      </rPr>
      <t> </t>
    </r>
  </si>
  <si>
    <r>
      <t>111,738</t>
    </r>
    <r>
      <rPr>
        <sz val="12"/>
        <color rgb="FF000000"/>
        <rFont val="Roboto Condensed"/>
        <charset val="1"/>
      </rPr>
      <t> </t>
    </r>
  </si>
  <si>
    <r>
      <t>93,069</t>
    </r>
    <r>
      <rPr>
        <sz val="12"/>
        <color rgb="FF000000"/>
        <rFont val="Roboto Condensed"/>
        <charset val="1"/>
      </rPr>
      <t> </t>
    </r>
  </si>
  <si>
    <r>
      <t>Percentage of newly admitted pupils in P1 who attended Nursery</t>
    </r>
    <r>
      <rPr>
        <sz val="12"/>
        <color rgb="FF000000"/>
        <rFont val="Roboto Condensed"/>
        <charset val="1"/>
      </rPr>
      <t> </t>
    </r>
  </si>
  <si>
    <r>
      <t>Overall</t>
    </r>
    <r>
      <rPr>
        <sz val="12"/>
        <color rgb="FF000000"/>
        <rFont val="Roboto Condensed"/>
        <charset val="1"/>
      </rPr>
      <t> </t>
    </r>
  </si>
  <si>
    <r>
      <t>28.1%</t>
    </r>
    <r>
      <rPr>
        <sz val="12"/>
        <color rgb="FF000000"/>
        <rFont val="Roboto Condensed"/>
        <charset val="1"/>
      </rPr>
      <t> </t>
    </r>
  </si>
  <si>
    <r>
      <t>47.7%</t>
    </r>
    <r>
      <rPr>
        <sz val="12"/>
        <color rgb="FF000000"/>
        <rFont val="Roboto Condensed"/>
        <charset val="1"/>
      </rPr>
      <t> </t>
    </r>
  </si>
  <si>
    <r>
      <t>50.8%</t>
    </r>
    <r>
      <rPr>
        <sz val="12"/>
        <color rgb="FF000000"/>
        <rFont val="Roboto Condensed"/>
        <charset val="1"/>
      </rPr>
      <t> </t>
    </r>
  </si>
  <si>
    <r>
      <t>51.0%</t>
    </r>
    <r>
      <rPr>
        <sz val="12"/>
        <color rgb="FF000000"/>
        <rFont val="Roboto Condensed"/>
        <charset val="1"/>
      </rPr>
      <t> </t>
    </r>
  </si>
  <si>
    <r>
      <t>52.6%</t>
    </r>
    <r>
      <rPr>
        <sz val="12"/>
        <color rgb="FF000000"/>
        <rFont val="Roboto Condensed"/>
        <charset val="1"/>
      </rPr>
      <t> </t>
    </r>
  </si>
  <si>
    <r>
      <t>35.3%</t>
    </r>
    <r>
      <rPr>
        <sz val="12"/>
        <color rgb="FF000000"/>
        <rFont val="Roboto Condensed"/>
        <charset val="1"/>
      </rPr>
      <t> </t>
    </r>
  </si>
  <si>
    <r>
      <t>27.5%</t>
    </r>
    <r>
      <rPr>
        <sz val="12"/>
        <color rgb="FF000000"/>
        <rFont val="Roboto Condensed"/>
        <charset val="1"/>
      </rPr>
      <t> </t>
    </r>
  </si>
  <si>
    <r>
      <t>47.5%</t>
    </r>
    <r>
      <rPr>
        <sz val="12"/>
        <color rgb="FF000000"/>
        <rFont val="Roboto Condensed"/>
        <charset val="1"/>
      </rPr>
      <t> </t>
    </r>
  </si>
  <si>
    <r>
      <t>53.4%</t>
    </r>
    <r>
      <rPr>
        <sz val="12"/>
        <color rgb="FF000000"/>
        <rFont val="Roboto Condensed"/>
        <charset val="1"/>
      </rPr>
      <t> </t>
    </r>
  </si>
  <si>
    <r>
      <t>54.7%</t>
    </r>
    <r>
      <rPr>
        <sz val="12"/>
        <color rgb="FF000000"/>
        <rFont val="Roboto Condensed"/>
        <charset val="1"/>
      </rPr>
      <t> </t>
    </r>
  </si>
  <si>
    <r>
      <t>33.7%</t>
    </r>
    <r>
      <rPr>
        <sz val="12"/>
        <color rgb="FF000000"/>
        <rFont val="Roboto Condensed"/>
        <charset val="1"/>
      </rPr>
      <t> </t>
    </r>
  </si>
  <si>
    <r>
      <t>28.8%</t>
    </r>
    <r>
      <rPr>
        <sz val="12"/>
        <color rgb="FF000000"/>
        <rFont val="Roboto Condensed"/>
        <charset val="1"/>
      </rPr>
      <t> </t>
    </r>
  </si>
  <si>
    <r>
      <t>48.0%</t>
    </r>
    <r>
      <rPr>
        <sz val="12"/>
        <color rgb="FF000000"/>
        <rFont val="Roboto Condensed"/>
        <charset val="1"/>
      </rPr>
      <t> </t>
    </r>
  </si>
  <si>
    <r>
      <t>51.3%</t>
    </r>
    <r>
      <rPr>
        <sz val="12"/>
        <color rgb="FF000000"/>
        <rFont val="Roboto Condensed"/>
        <charset val="1"/>
      </rPr>
      <t> </t>
    </r>
  </si>
  <si>
    <r>
      <t>48.5%</t>
    </r>
    <r>
      <rPr>
        <sz val="12"/>
        <color rgb="FF000000"/>
        <rFont val="Roboto Condensed"/>
        <charset val="1"/>
      </rPr>
      <t> </t>
    </r>
  </si>
  <si>
    <r>
      <t>50.3%</t>
    </r>
    <r>
      <rPr>
        <sz val="12"/>
        <color rgb="FF000000"/>
        <rFont val="Roboto Condensed"/>
        <charset val="1"/>
      </rPr>
      <t> </t>
    </r>
  </si>
  <si>
    <r>
      <t>37.1%</t>
    </r>
    <r>
      <rPr>
        <b/>
        <i/>
        <sz val="10"/>
        <color rgb="FF000000"/>
        <rFont val="Roboto Condensed"/>
        <charset val="1"/>
      </rPr>
      <t> </t>
    </r>
    <r>
      <rPr>
        <sz val="10"/>
        <color rgb="FF000000"/>
        <rFont val="Roboto Condensed"/>
        <charset val="1"/>
      </rPr>
      <t> </t>
    </r>
  </si>
  <si>
    <t>Table 2.11.2: Transition rate from primary to lower secondary</t>
  </si>
  <si>
    <r>
      <t>Indicator</t>
    </r>
    <r>
      <rPr>
        <sz val="12"/>
        <color rgb="FF000000"/>
        <rFont val="Roboto"/>
        <charset val="1"/>
      </rPr>
      <t> </t>
    </r>
  </si>
  <si>
    <r>
      <t>2016</t>
    </r>
    <r>
      <rPr>
        <sz val="12"/>
        <color rgb="FF000000"/>
        <rFont val="Roboto"/>
        <charset val="1"/>
      </rPr>
      <t> </t>
    </r>
  </si>
  <si>
    <r>
      <t>2017</t>
    </r>
    <r>
      <rPr>
        <sz val="12"/>
        <color rgb="FF000000"/>
        <rFont val="Roboto"/>
        <charset val="1"/>
      </rPr>
      <t> </t>
    </r>
  </si>
  <si>
    <r>
      <t>2018</t>
    </r>
    <r>
      <rPr>
        <sz val="12"/>
        <color rgb="FF000000"/>
        <rFont val="Roboto"/>
        <charset val="1"/>
      </rPr>
      <t> </t>
    </r>
  </si>
  <si>
    <r>
      <t>2019</t>
    </r>
    <r>
      <rPr>
        <sz val="12"/>
        <color rgb="FF000000"/>
        <rFont val="Roboto"/>
        <charset val="1"/>
      </rPr>
      <t> </t>
    </r>
  </si>
  <si>
    <r>
      <t>2020/21</t>
    </r>
    <r>
      <rPr>
        <sz val="12"/>
        <color rgb="FF000000"/>
        <rFont val="Roboto"/>
        <charset val="1"/>
      </rPr>
      <t> </t>
    </r>
  </si>
  <si>
    <r>
      <t>2021/22</t>
    </r>
    <r>
      <rPr>
        <sz val="12"/>
        <color rgb="FF000000"/>
        <rFont val="Roboto"/>
        <charset val="1"/>
      </rPr>
      <t> </t>
    </r>
  </si>
  <si>
    <r>
      <t>2022/23</t>
    </r>
    <r>
      <rPr>
        <sz val="12"/>
        <color rgb="FF000000"/>
        <rFont val="Roboto"/>
        <charset val="1"/>
      </rPr>
      <t> </t>
    </r>
  </si>
  <si>
    <r>
      <t>Number of students enrolled in P6 </t>
    </r>
    <r>
      <rPr>
        <sz val="12"/>
        <color rgb="FF000000"/>
        <rFont val="Roboto"/>
        <charset val="1"/>
      </rPr>
      <t> </t>
    </r>
  </si>
  <si>
    <r>
      <t>Total</t>
    </r>
    <r>
      <rPr>
        <sz val="12"/>
        <color rgb="FF000000"/>
        <rFont val="Roboto"/>
        <charset val="1"/>
      </rPr>
      <t> </t>
    </r>
  </si>
  <si>
    <r>
      <t>Number of students newly enrolled in S1 (repeaters excluded)</t>
    </r>
    <r>
      <rPr>
        <sz val="12"/>
        <color rgb="FF000000"/>
        <rFont val="Roboto"/>
        <charset val="1"/>
      </rPr>
      <t> </t>
    </r>
  </si>
  <si>
    <r>
      <t> </t>
    </r>
    <r>
      <rPr>
        <sz val="12"/>
        <color rgb="FF000000"/>
        <rFont val="Roboto"/>
        <charset val="1"/>
      </rPr>
      <t> </t>
    </r>
  </si>
  <si>
    <t>  </t>
  </si>
  <si>
    <r>
      <t>Transition rate from primary to lower secondary</t>
    </r>
    <r>
      <rPr>
        <sz val="12"/>
        <color rgb="FF000000"/>
        <rFont val="Roboto"/>
        <charset val="1"/>
      </rPr>
      <t> </t>
    </r>
  </si>
  <si>
    <r>
      <t>Overall</t>
    </r>
    <r>
      <rPr>
        <sz val="12"/>
        <color rgb="FF000000"/>
        <rFont val="Roboto"/>
        <charset val="1"/>
      </rPr>
      <t> </t>
    </r>
  </si>
  <si>
    <r>
      <t>Note:</t>
    </r>
    <r>
      <rPr>
        <sz val="10"/>
        <color rgb="FF000000"/>
        <rFont val="Roboto Condensed"/>
        <charset val="1"/>
      </rPr>
      <t xml:space="preserve"> Transition rate for 2022/23 will be obtained with the availability of 2023/24 data </t>
    </r>
  </si>
  <si>
    <t>Table 2.11.3: Transition rate from lower to upper secondary</t>
  </si>
  <si>
    <r>
      <t>Number of students enrolled in S3 </t>
    </r>
    <r>
      <rPr>
        <sz val="12"/>
        <color rgb="FF000000"/>
        <rFont val="Roboto"/>
        <charset val="1"/>
      </rPr>
      <t> </t>
    </r>
  </si>
  <si>
    <r>
      <t>Number of students newrly enrolled in S4 (repeaters excluded)</t>
    </r>
    <r>
      <rPr>
        <sz val="12"/>
        <color rgb="FF000000"/>
        <rFont val="Roboto"/>
        <charset val="1"/>
      </rPr>
      <t> </t>
    </r>
  </si>
  <si>
    <t xml:space="preserve">Male </t>
  </si>
  <si>
    <r>
      <t>Transition rate from lower to upper secondary</t>
    </r>
    <r>
      <rPr>
        <sz val="12"/>
        <color rgb="FF000000"/>
        <rFont val="Roboto"/>
        <charset val="1"/>
      </rPr>
      <t> </t>
    </r>
  </si>
  <si>
    <r>
      <t>Source</t>
    </r>
    <r>
      <rPr>
        <sz val="10"/>
        <rFont val="Roboto Condensed"/>
        <charset val="1"/>
      </rPr>
      <t>: School census, Ministry of Education </t>
    </r>
  </si>
  <si>
    <r>
      <rPr>
        <b/>
        <sz val="10"/>
        <color rgb="FF000000"/>
        <rFont val="Roboto Condensed"/>
      </rPr>
      <t>Note:</t>
    </r>
    <r>
      <rPr>
        <sz val="10"/>
        <color rgb="FF000000"/>
        <rFont val="Roboto Condensed"/>
      </rPr>
      <t xml:space="preserve"> Transition rate for 2022/23 will be obtained with the availability of 2023/24 data </t>
    </r>
  </si>
  <si>
    <t>Indicator</t>
  </si>
  <si>
    <t>Students passed S6 exam in the previous year</t>
  </si>
  <si>
    <t>First-time new entrant students in Higher education in this year</t>
  </si>
  <si>
    <t xml:space="preserve">Transition rate from S6 to Higher education </t>
  </si>
  <si>
    <r>
      <t>Source</t>
    </r>
    <r>
      <rPr>
        <i/>
        <sz val="8"/>
        <color theme="1"/>
        <rFont val="Roboto Condensed"/>
      </rPr>
      <t>: School census, Ministry of Education</t>
    </r>
  </si>
  <si>
    <t>Total boarding Students</t>
  </si>
  <si>
    <t>Total non-boarding Students</t>
  </si>
  <si>
    <t>Percentage of boarding Students</t>
  </si>
  <si>
    <t>Percentage of non-boarding Students</t>
  </si>
  <si>
    <r>
      <t>Source:</t>
    </r>
    <r>
      <rPr>
        <i/>
        <sz val="11"/>
        <rFont val="Roboto Condensed"/>
      </rPr>
      <t xml:space="preserve"> School census, Ministry of Education</t>
    </r>
  </si>
  <si>
    <r>
      <t>Table 2.12.2:</t>
    </r>
    <r>
      <rPr>
        <sz val="12"/>
        <color rgb="FF000000"/>
        <rFont val="Roboto Condensed"/>
      </rPr>
      <t xml:space="preserve"> </t>
    </r>
    <r>
      <rPr>
        <b/>
        <sz val="12"/>
        <color rgb="FF000000"/>
        <rFont val="Roboto Condensed"/>
      </rPr>
      <t>Number of boarding students in Gen. and prof secondary </t>
    </r>
  </si>
  <si>
    <r>
      <t xml:space="preserve">Table 2.12.3: </t>
    </r>
    <r>
      <rPr>
        <b/>
        <sz val="12"/>
        <color rgb="FF000000"/>
        <rFont val="Roboto Condensed"/>
      </rPr>
      <t>Number of boarding students in TVET level 1 to 5</t>
    </r>
  </si>
  <si>
    <t>Total school staff</t>
  </si>
  <si>
    <t>%Male</t>
  </si>
  <si>
    <t>%Female</t>
  </si>
  <si>
    <t>Staff in Public schools</t>
  </si>
  <si>
    <t>Staff in Government-subsidized schools</t>
  </si>
  <si>
    <t>Staff in Private schools</t>
  </si>
  <si>
    <r>
      <rPr>
        <b/>
        <i/>
        <sz val="10"/>
        <color rgb="FF000000"/>
        <rFont val="Roboto Condensed"/>
      </rPr>
      <t>Source</t>
    </r>
    <r>
      <rPr>
        <i/>
        <sz val="10"/>
        <color rgb="FF000000"/>
        <rFont val="Roboto Condensed"/>
      </rPr>
      <t>: School census, Ministry of Education </t>
    </r>
  </si>
  <si>
    <t>Total staff</t>
  </si>
  <si>
    <t>Staff in Public Higher education institutions</t>
  </si>
  <si>
    <t>Staff in Private Higher education institutions</t>
  </si>
  <si>
    <t>Total school teaching staff</t>
  </si>
  <si>
    <t>Teaching staff in public schools</t>
  </si>
  <si>
    <t>Teaching staff in Government-subsidized schools</t>
  </si>
  <si>
    <t>Teaching staff in Private schools</t>
  </si>
  <si>
    <t>Total teaching staff</t>
  </si>
  <si>
    <t>teaching Staff in Public schools</t>
  </si>
  <si>
    <t>teaching Staff in Government-subsidized schools</t>
  </si>
  <si>
    <t>teaching Staff in Private schools</t>
  </si>
  <si>
    <t>Total teaching staff in TVET</t>
  </si>
  <si>
    <t>Teaching Staff in Public schools</t>
  </si>
  <si>
    <t>Teaching Staff in Government-subsidized schools</t>
  </si>
  <si>
    <t>Teaching Staff in Private schools</t>
  </si>
  <si>
    <t>Total academic staff</t>
  </si>
  <si>
    <t>Academic staff in public institutions</t>
  </si>
  <si>
    <t>Academic staff in Private institutions</t>
  </si>
  <si>
    <t>Total instructors</t>
  </si>
  <si>
    <t>Instructors in public centers</t>
  </si>
  <si>
    <t>Instructors in Government-subsidized centers</t>
  </si>
  <si>
    <t>Instructors in private centers</t>
  </si>
  <si>
    <t>In Preprimary</t>
  </si>
  <si>
    <t>In Primary</t>
  </si>
  <si>
    <t>In General, and professional secondary</t>
  </si>
  <si>
    <t>In TVET L1-L5</t>
  </si>
  <si>
    <t>In adult literacy</t>
  </si>
  <si>
    <t xml:space="preserve">Table 3.3.1: Total Number of administrative staff in education system  </t>
  </si>
  <si>
    <t>202/21</t>
  </si>
  <si>
    <t>Total school administrative staff</t>
  </si>
  <si>
    <r>
      <t>Table 3.3.2</t>
    </r>
    <r>
      <rPr>
        <sz val="12"/>
        <color theme="1"/>
        <rFont val="Roboto Condensed"/>
      </rPr>
      <t xml:space="preserve">: </t>
    </r>
    <r>
      <rPr>
        <b/>
        <sz val="12"/>
        <color theme="1"/>
        <rFont val="Roboto Condensed"/>
      </rPr>
      <t xml:space="preserve">Administrative staff in Preprimary, primary, secondary and TVET L1 to L5 </t>
    </r>
  </si>
  <si>
    <t>Table 3.3.3: Number of administrative staff in Higher education institutions</t>
  </si>
  <si>
    <t>Total administrative staff</t>
  </si>
  <si>
    <t>Total school  staff</t>
  </si>
  <si>
    <t>Bachelors</t>
  </si>
  <si>
    <t>Diploma (A1)</t>
  </si>
  <si>
    <t>Advanced secondary certificate  (A2)</t>
  </si>
  <si>
    <t>Others</t>
  </si>
  <si>
    <r>
      <t>Source:</t>
    </r>
    <r>
      <rPr>
        <i/>
        <sz val="10"/>
        <color rgb="FF000000"/>
        <rFont val="Roboto Condensed"/>
        <charset val="1"/>
      </rPr>
      <t xml:space="preserve"> School Census, Ministry of Education</t>
    </r>
    <r>
      <rPr>
        <sz val="10"/>
        <color rgb="FF000000"/>
        <rFont val="Roboto Condensed"/>
        <charset val="1"/>
      </rPr>
      <t> </t>
    </r>
  </si>
  <si>
    <r>
      <t>Source</t>
    </r>
    <r>
      <rPr>
        <sz val="10"/>
        <color theme="1"/>
        <rFont val="Roboto Condensed"/>
      </rPr>
      <t>: School census, Ministry of education</t>
    </r>
  </si>
  <si>
    <r>
      <t>Source:</t>
    </r>
    <r>
      <rPr>
        <sz val="10"/>
        <color theme="1"/>
        <rFont val="Roboto Condensed"/>
      </rPr>
      <t xml:space="preserve"> School census, Ministry of education</t>
    </r>
  </si>
  <si>
    <t>Qualification/Year</t>
  </si>
  <si>
    <t>Total staff in HE</t>
  </si>
  <si>
    <t>PhDs</t>
  </si>
  <si>
    <t>Below Bachelors</t>
  </si>
  <si>
    <t>Total Academic staff In HE</t>
  </si>
  <si>
    <t>Total Administrative staff in HE</t>
  </si>
  <si>
    <t>Table 3.5.1: Qualified teaching staff in Preprimary education</t>
  </si>
  <si>
    <t>Qualified teaching staff</t>
  </si>
  <si>
    <t>Qualified Male teaching staff</t>
  </si>
  <si>
    <t>Qualified Female teaching staff</t>
  </si>
  <si>
    <t>% of Qualified teaching staff</t>
  </si>
  <si>
    <t>% of Qualified Male teaching staff</t>
  </si>
  <si>
    <t>% Qualified Female teaching staff</t>
  </si>
  <si>
    <t>Unqualified teaching staff</t>
  </si>
  <si>
    <t>Unqualified Male teaching staff</t>
  </si>
  <si>
    <t>Unqualified Female teaching staff</t>
  </si>
  <si>
    <t>% of unqualified teaching staff</t>
  </si>
  <si>
    <t>% of unqualified Male teaching staff</t>
  </si>
  <si>
    <t>% unqualified Female teaching staff</t>
  </si>
  <si>
    <t>Table 3.5.2: Qualified teaching staff in primary education</t>
  </si>
  <si>
    <t>% of unqualified Female teaching staff</t>
  </si>
  <si>
    <t>Table 3.5.3: Qualified teaching staff in gen. and prof. secondary education</t>
  </si>
  <si>
    <t>Table 3.5.4: Qualified teaching staff in TVET education</t>
  </si>
  <si>
    <t>Table 3.5.5: PhD holders among academic staff in Higher education</t>
  </si>
  <si>
    <r>
      <t>Qualification/Year</t>
    </r>
    <r>
      <rPr>
        <sz val="11"/>
        <color rgb="FF000000"/>
        <rFont val="Roboto"/>
        <charset val="1"/>
      </rPr>
      <t> </t>
    </r>
  </si>
  <si>
    <r>
      <t>2016/17</t>
    </r>
    <r>
      <rPr>
        <sz val="11"/>
        <color rgb="FF000000"/>
        <rFont val="Roboto"/>
        <charset val="1"/>
      </rPr>
      <t> </t>
    </r>
  </si>
  <si>
    <r>
      <t>2017/18</t>
    </r>
    <r>
      <rPr>
        <sz val="11"/>
        <color rgb="FF000000"/>
        <rFont val="Roboto"/>
        <charset val="1"/>
      </rPr>
      <t> </t>
    </r>
  </si>
  <si>
    <r>
      <t>2018/19</t>
    </r>
    <r>
      <rPr>
        <sz val="11"/>
        <color rgb="FF000000"/>
        <rFont val="Roboto"/>
        <charset val="1"/>
      </rPr>
      <t> </t>
    </r>
  </si>
  <si>
    <r>
      <t>2020/21</t>
    </r>
    <r>
      <rPr>
        <sz val="11"/>
        <color rgb="FF000000"/>
        <rFont val="Roboto"/>
        <charset val="1"/>
      </rPr>
      <t> </t>
    </r>
  </si>
  <si>
    <r>
      <t>2021/22</t>
    </r>
    <r>
      <rPr>
        <sz val="11"/>
        <color rgb="FF000000"/>
        <rFont val="Roboto"/>
        <charset val="1"/>
      </rPr>
      <t> </t>
    </r>
  </si>
  <si>
    <r>
      <t>2022/23</t>
    </r>
    <r>
      <rPr>
        <sz val="11"/>
        <color rgb="FF000000"/>
        <rFont val="Roboto"/>
        <charset val="1"/>
      </rPr>
      <t> </t>
    </r>
  </si>
  <si>
    <r>
      <t>Total Academic staff in HE</t>
    </r>
    <r>
      <rPr>
        <sz val="11"/>
        <color rgb="FF000000"/>
        <rFont val="Roboto"/>
        <charset val="1"/>
      </rPr>
      <t> </t>
    </r>
  </si>
  <si>
    <r>
      <t>4,094</t>
    </r>
    <r>
      <rPr>
        <sz val="11"/>
        <color rgb="FF000000"/>
        <rFont val="Roboto"/>
        <charset val="1"/>
      </rPr>
      <t> </t>
    </r>
  </si>
  <si>
    <r>
      <t>4,086</t>
    </r>
    <r>
      <rPr>
        <sz val="11"/>
        <color rgb="FF000000"/>
        <rFont val="Roboto"/>
        <charset val="1"/>
      </rPr>
      <t> </t>
    </r>
  </si>
  <si>
    <r>
      <t>4,322</t>
    </r>
    <r>
      <rPr>
        <sz val="11"/>
        <color rgb="FF000000"/>
        <rFont val="Roboto"/>
        <charset val="1"/>
      </rPr>
      <t> </t>
    </r>
  </si>
  <si>
    <r>
      <t>4,301</t>
    </r>
    <r>
      <rPr>
        <sz val="11"/>
        <color rgb="FF000000"/>
        <rFont val="Roboto"/>
        <charset val="1"/>
      </rPr>
      <t> </t>
    </r>
  </si>
  <si>
    <r>
      <t>4,302</t>
    </r>
    <r>
      <rPr>
        <sz val="11"/>
        <color rgb="FF000000"/>
        <rFont val="Roboto"/>
        <charset val="1"/>
      </rPr>
      <t> </t>
    </r>
  </si>
  <si>
    <r>
      <t>Male</t>
    </r>
    <r>
      <rPr>
        <sz val="11"/>
        <color rgb="FF000000"/>
        <rFont val="Roboto"/>
        <charset val="1"/>
      </rPr>
      <t> </t>
    </r>
  </si>
  <si>
    <t>3,294 </t>
  </si>
  <si>
    <r>
      <t>3,324</t>
    </r>
    <r>
      <rPr>
        <sz val="11"/>
        <color rgb="FF000000"/>
        <rFont val="Roboto"/>
        <charset val="1"/>
      </rPr>
      <t> </t>
    </r>
  </si>
  <si>
    <r>
      <t>3,500</t>
    </r>
    <r>
      <rPr>
        <sz val="11"/>
        <color rgb="FF000000"/>
        <rFont val="Roboto"/>
        <charset val="1"/>
      </rPr>
      <t> </t>
    </r>
  </si>
  <si>
    <r>
      <t>3,492</t>
    </r>
    <r>
      <rPr>
        <sz val="11"/>
        <color rgb="FF000000"/>
        <rFont val="Roboto"/>
        <charset val="1"/>
      </rPr>
      <t> </t>
    </r>
  </si>
  <si>
    <r>
      <t>3,479</t>
    </r>
    <r>
      <rPr>
        <sz val="11"/>
        <color rgb="FF000000"/>
        <rFont val="Roboto"/>
        <charset val="1"/>
      </rPr>
      <t> </t>
    </r>
  </si>
  <si>
    <r>
      <t>Female</t>
    </r>
    <r>
      <rPr>
        <sz val="11"/>
        <color rgb="FF000000"/>
        <rFont val="Roboto"/>
        <charset val="1"/>
      </rPr>
      <t> </t>
    </r>
  </si>
  <si>
    <r>
      <t>800</t>
    </r>
    <r>
      <rPr>
        <sz val="11"/>
        <color rgb="FF000000"/>
        <rFont val="Roboto"/>
        <charset val="1"/>
      </rPr>
      <t> </t>
    </r>
  </si>
  <si>
    <r>
      <t>762</t>
    </r>
    <r>
      <rPr>
        <sz val="11"/>
        <color rgb="FF000000"/>
        <rFont val="Roboto"/>
        <charset val="1"/>
      </rPr>
      <t> </t>
    </r>
  </si>
  <si>
    <r>
      <t>822</t>
    </r>
    <r>
      <rPr>
        <sz val="11"/>
        <color rgb="FF000000"/>
        <rFont val="Roboto"/>
        <charset val="1"/>
      </rPr>
      <t> </t>
    </r>
  </si>
  <si>
    <r>
      <t>809</t>
    </r>
    <r>
      <rPr>
        <sz val="11"/>
        <color rgb="FF000000"/>
        <rFont val="Roboto"/>
        <charset val="1"/>
      </rPr>
      <t> </t>
    </r>
  </si>
  <si>
    <r>
      <t>823</t>
    </r>
    <r>
      <rPr>
        <sz val="11"/>
        <color rgb="FF000000"/>
        <rFont val="Roboto"/>
        <charset val="1"/>
      </rPr>
      <t> </t>
    </r>
  </si>
  <si>
    <r>
      <t>Academic staff with PhD</t>
    </r>
    <r>
      <rPr>
        <sz val="11"/>
        <color rgb="FF000000"/>
        <rFont val="Roboto"/>
        <charset val="1"/>
      </rPr>
      <t> </t>
    </r>
  </si>
  <si>
    <r>
      <t>% Male</t>
    </r>
    <r>
      <rPr>
        <sz val="11"/>
        <color rgb="FF000000"/>
        <rFont val="Roboto"/>
        <charset val="1"/>
      </rPr>
      <t> </t>
    </r>
  </si>
  <si>
    <r>
      <t>% Female</t>
    </r>
    <r>
      <rPr>
        <sz val="11"/>
        <color rgb="FF000000"/>
        <rFont val="Roboto"/>
        <charset val="1"/>
      </rPr>
      <t> </t>
    </r>
  </si>
  <si>
    <r>
      <t>% of PhD holders among Academic staff</t>
    </r>
    <r>
      <rPr>
        <sz val="11"/>
        <color rgb="FF000000"/>
        <rFont val="Roboto"/>
        <charset val="1"/>
      </rPr>
      <t> </t>
    </r>
  </si>
  <si>
    <t>Table 3.5.6: Pupil qualified teacher ratio</t>
  </si>
  <si>
    <t>Education level/Year</t>
  </si>
  <si>
    <t>Trained teaching staff</t>
  </si>
  <si>
    <t>Trained Male teaching staff</t>
  </si>
  <si>
    <t>Trained Female teaching staff</t>
  </si>
  <si>
    <t>% of Trained teaching staff</t>
  </si>
  <si>
    <t>% of Trained Male teaching staff</t>
  </si>
  <si>
    <t>% Trained Female teaching staff</t>
  </si>
  <si>
    <t>Untrained teaching staff</t>
  </si>
  <si>
    <t>Untrained Male teaching staff</t>
  </si>
  <si>
    <t>Untrained Female teaching staff</t>
  </si>
  <si>
    <t>% of untrained teaching staff</t>
  </si>
  <si>
    <t>% of untrained Male teaching staff</t>
  </si>
  <si>
    <t>% untrained Female teaching staff</t>
  </si>
  <si>
    <t>Indicator/year</t>
  </si>
  <si>
    <t>Instructors receiving in service training</t>
  </si>
  <si>
    <t>Trained Male Instructors</t>
  </si>
  <si>
    <t xml:space="preserve">Trained Female Instructors </t>
  </si>
  <si>
    <t xml:space="preserve">% of Trained Instructors </t>
  </si>
  <si>
    <t xml:space="preserve">% of Trained Male Instructors </t>
  </si>
  <si>
    <t xml:space="preserve">% Trained Female Instructors </t>
  </si>
  <si>
    <t xml:space="preserve">Untrained Instructors </t>
  </si>
  <si>
    <t xml:space="preserve">Untrained Male Instructors </t>
  </si>
  <si>
    <t xml:space="preserve">Untrained Female Instructors </t>
  </si>
  <si>
    <t xml:space="preserve">% of untrained Instructors </t>
  </si>
  <si>
    <t xml:space="preserve">% of untrained Male Instructors </t>
  </si>
  <si>
    <t xml:space="preserve">% untrained Female Instructors </t>
  </si>
  <si>
    <r>
      <t>Indicators</t>
    </r>
    <r>
      <rPr>
        <sz val="11"/>
        <color rgb="FF000000"/>
        <rFont val="Roboto"/>
        <charset val="1"/>
      </rPr>
      <t> </t>
    </r>
  </si>
  <si>
    <r>
      <t>2017</t>
    </r>
    <r>
      <rPr>
        <sz val="11"/>
        <color rgb="FF000000"/>
        <rFont val="Roboto"/>
        <charset val="1"/>
      </rPr>
      <t> </t>
    </r>
  </si>
  <si>
    <r>
      <t>2018</t>
    </r>
    <r>
      <rPr>
        <sz val="11"/>
        <color rgb="FF000000"/>
        <rFont val="Roboto"/>
        <charset val="1"/>
      </rPr>
      <t> </t>
    </r>
  </si>
  <si>
    <r>
      <t>2019</t>
    </r>
    <r>
      <rPr>
        <sz val="11"/>
        <color rgb="FF000000"/>
        <rFont val="Roboto"/>
        <charset val="1"/>
      </rPr>
      <t> </t>
    </r>
  </si>
  <si>
    <r>
      <t>GPI in % of pre-nursery trained teacher</t>
    </r>
    <r>
      <rPr>
        <sz val="11"/>
        <color rgb="FF000000"/>
        <rFont val="Roboto"/>
        <charset val="1"/>
      </rPr>
      <t> </t>
    </r>
  </si>
  <si>
    <r>
      <t>0.72</t>
    </r>
    <r>
      <rPr>
        <sz val="11"/>
        <color rgb="FF000000"/>
        <rFont val="Roboto"/>
        <charset val="1"/>
      </rPr>
      <t> </t>
    </r>
  </si>
  <si>
    <r>
      <t>0.53</t>
    </r>
    <r>
      <rPr>
        <sz val="11"/>
        <color rgb="FF000000"/>
        <rFont val="Roboto"/>
        <charset val="1"/>
      </rPr>
      <t> </t>
    </r>
  </si>
  <si>
    <r>
      <t>0.79</t>
    </r>
    <r>
      <rPr>
        <sz val="11"/>
        <color rgb="FF000000"/>
        <rFont val="Roboto"/>
        <charset val="1"/>
      </rPr>
      <t> </t>
    </r>
  </si>
  <si>
    <r>
      <t>0.78</t>
    </r>
    <r>
      <rPr>
        <sz val="11"/>
        <color rgb="FF000000"/>
        <rFont val="Roboto"/>
        <charset val="1"/>
      </rPr>
      <t> </t>
    </r>
  </si>
  <si>
    <r>
      <t>1.62</t>
    </r>
    <r>
      <rPr>
        <sz val="11"/>
        <color rgb="FF000000"/>
        <rFont val="Roboto"/>
        <charset val="1"/>
      </rPr>
      <t> </t>
    </r>
  </si>
  <si>
    <r>
      <t>GPI in % of preprimary trained teacher</t>
    </r>
    <r>
      <rPr>
        <sz val="11"/>
        <color rgb="FF000000"/>
        <rFont val="Roboto"/>
        <charset val="1"/>
      </rPr>
      <t> </t>
    </r>
  </si>
  <si>
    <r>
      <t>1.01</t>
    </r>
    <r>
      <rPr>
        <sz val="11"/>
        <color rgb="FF000000"/>
        <rFont val="Roboto"/>
        <charset val="1"/>
      </rPr>
      <t> </t>
    </r>
  </si>
  <si>
    <r>
      <t>1.02</t>
    </r>
    <r>
      <rPr>
        <sz val="11"/>
        <color rgb="FF000000"/>
        <rFont val="Roboto"/>
        <charset val="1"/>
      </rPr>
      <t> </t>
    </r>
  </si>
  <si>
    <r>
      <t>0.94</t>
    </r>
    <r>
      <rPr>
        <sz val="11"/>
        <color rgb="FF000000"/>
        <rFont val="Roboto"/>
        <charset val="1"/>
      </rPr>
      <t> </t>
    </r>
  </si>
  <si>
    <r>
      <t>0.88</t>
    </r>
    <r>
      <rPr>
        <sz val="11"/>
        <color rgb="FF000000"/>
        <rFont val="Roboto"/>
        <charset val="1"/>
      </rPr>
      <t> </t>
    </r>
  </si>
  <si>
    <r>
      <t>1.15</t>
    </r>
    <r>
      <rPr>
        <sz val="11"/>
        <color rgb="FF000000"/>
        <rFont val="Roboto"/>
        <charset val="1"/>
      </rPr>
      <t> </t>
    </r>
  </si>
  <si>
    <r>
      <t>GPI in % of Primary trained teacher</t>
    </r>
    <r>
      <rPr>
        <sz val="11"/>
        <color rgb="FF000000"/>
        <rFont val="Roboto"/>
        <charset val="1"/>
      </rPr>
      <t> </t>
    </r>
  </si>
  <si>
    <r>
      <t>1.03</t>
    </r>
    <r>
      <rPr>
        <sz val="11"/>
        <color rgb="FF000000"/>
        <rFont val="Roboto"/>
        <charset val="1"/>
      </rPr>
      <t> </t>
    </r>
  </si>
  <si>
    <r>
      <t>1.39</t>
    </r>
    <r>
      <rPr>
        <sz val="11"/>
        <color rgb="FF000000"/>
        <rFont val="Roboto"/>
        <charset val="1"/>
      </rPr>
      <t> </t>
    </r>
  </si>
  <si>
    <r>
      <t>GPI in % of Gen. and Prof. Secondary trained teacher</t>
    </r>
    <r>
      <rPr>
        <sz val="11"/>
        <color rgb="FF000000"/>
        <rFont val="Roboto"/>
        <charset val="1"/>
      </rPr>
      <t> </t>
    </r>
  </si>
  <si>
    <r>
      <t>GPI in % of TVET trained teacher </t>
    </r>
    <r>
      <rPr>
        <sz val="11"/>
        <color rgb="FF000000"/>
        <rFont val="Roboto"/>
        <charset val="1"/>
      </rPr>
      <t> </t>
    </r>
  </si>
  <si>
    <r>
      <t>1.08</t>
    </r>
    <r>
      <rPr>
        <sz val="11"/>
        <color rgb="FF000000"/>
        <rFont val="Roboto"/>
        <charset val="1"/>
      </rPr>
      <t> </t>
    </r>
  </si>
  <si>
    <r>
      <t>0.97</t>
    </r>
    <r>
      <rPr>
        <sz val="11"/>
        <color rgb="FF000000"/>
        <rFont val="Roboto"/>
        <charset val="1"/>
      </rPr>
      <t> </t>
    </r>
  </si>
  <si>
    <r>
      <t>GPI in % of PhD holders in Higher education</t>
    </r>
    <r>
      <rPr>
        <sz val="11"/>
        <color rgb="FF000000"/>
        <rFont val="Roboto"/>
        <charset val="1"/>
      </rPr>
      <t> </t>
    </r>
  </si>
  <si>
    <r>
      <t>0.67</t>
    </r>
    <r>
      <rPr>
        <sz val="11"/>
        <color rgb="FF000000"/>
        <rFont val="Roboto"/>
        <charset val="1"/>
      </rPr>
      <t> </t>
    </r>
  </si>
  <si>
    <r>
      <t>0.60</t>
    </r>
    <r>
      <rPr>
        <sz val="11"/>
        <color rgb="FF000000"/>
        <rFont val="Roboto"/>
        <charset val="1"/>
      </rPr>
      <t> </t>
    </r>
  </si>
  <si>
    <r>
      <t>0.59</t>
    </r>
    <r>
      <rPr>
        <sz val="11"/>
        <color rgb="FF000000"/>
        <rFont val="Roboto"/>
        <charset val="1"/>
      </rPr>
      <t> </t>
    </r>
  </si>
  <si>
    <r>
      <t>0.73</t>
    </r>
    <r>
      <rPr>
        <sz val="11"/>
        <color rgb="FF000000"/>
        <rFont val="Roboto"/>
        <charset val="1"/>
      </rPr>
      <t> </t>
    </r>
  </si>
  <si>
    <r>
      <t>0.76</t>
    </r>
    <r>
      <rPr>
        <sz val="11"/>
        <color rgb="FF000000"/>
        <rFont val="Roboto"/>
        <charset val="1"/>
      </rPr>
      <t> </t>
    </r>
  </si>
  <si>
    <r>
      <t>GPI in % of trained adult literacy instructors</t>
    </r>
    <r>
      <rPr>
        <sz val="11"/>
        <color rgb="FF000000"/>
        <rFont val="Roboto"/>
        <charset val="1"/>
      </rPr>
      <t> </t>
    </r>
  </si>
  <si>
    <r>
      <t>1.04</t>
    </r>
    <r>
      <rPr>
        <sz val="11"/>
        <color rgb="FF000000"/>
        <rFont val="Roboto"/>
        <charset val="1"/>
      </rPr>
      <t> </t>
    </r>
  </si>
  <si>
    <r>
      <t>1.06</t>
    </r>
    <r>
      <rPr>
        <sz val="11"/>
        <color rgb="FF000000"/>
        <rFont val="Roboto"/>
        <charset val="1"/>
      </rPr>
      <t> </t>
    </r>
  </si>
  <si>
    <r>
      <t>0.99</t>
    </r>
    <r>
      <rPr>
        <sz val="11"/>
        <color rgb="FF000000"/>
        <rFont val="Roboto"/>
        <charset val="1"/>
      </rPr>
      <t> </t>
    </r>
  </si>
  <si>
    <r>
      <t>1.10</t>
    </r>
    <r>
      <rPr>
        <sz val="11"/>
        <color rgb="FF000000"/>
        <rFont val="Roboto"/>
        <charset val="1"/>
      </rPr>
      <t> </t>
    </r>
  </si>
  <si>
    <r>
      <t>0.96</t>
    </r>
    <r>
      <rPr>
        <sz val="11"/>
        <color rgb="FF000000"/>
        <rFont val="Roboto"/>
        <charset val="1"/>
      </rPr>
      <t> </t>
    </r>
  </si>
  <si>
    <t>Table 4.1.1: Use of ICT for teaching and learning</t>
  </si>
  <si>
    <t>Level of education</t>
  </si>
  <si>
    <t>Overall number of schools using ICT for teaching and learning</t>
  </si>
  <si>
    <t>Schools with Gen. and prof. Secondary level</t>
  </si>
  <si>
    <t>Schools with TVET L1-L5 levels</t>
  </si>
  <si>
    <t>Overall number of schools not using ICT for teaching and learning</t>
  </si>
  <si>
    <t>Percentage of schools using ICT for teaching and learning</t>
  </si>
  <si>
    <t>Overall number of schools with smart classroom</t>
  </si>
  <si>
    <t>Overall number of schools without smart classroom</t>
  </si>
  <si>
    <t>Percentage of schools with smart classroom</t>
  </si>
  <si>
    <t>% of Schools with Primary level</t>
  </si>
  <si>
    <t>% Schools with Gen. and prof. Secondary level</t>
  </si>
  <si>
    <t>% Schools with TVET L1-L5 levels</t>
  </si>
  <si>
    <r>
      <t>Source</t>
    </r>
    <r>
      <rPr>
        <i/>
        <sz val="10"/>
        <rFont val="Roboto Condensed"/>
        <charset val="1"/>
      </rPr>
      <t>: School census, Ministry of Education</t>
    </r>
  </si>
  <si>
    <t>Overall number of schools with Computer laboratories</t>
  </si>
  <si>
    <t>Overall number of schools without Computer laboratories</t>
  </si>
  <si>
    <t>Percentage of schools with Computer laboratories</t>
  </si>
  <si>
    <r>
      <t>Source</t>
    </r>
    <r>
      <rPr>
        <i/>
        <sz val="10"/>
        <rFont val="Roboto Condensed"/>
        <charset val="1"/>
      </rPr>
      <t>: School census, Ministry of Education</t>
    </r>
    <r>
      <rPr>
        <sz val="10"/>
        <rFont val="Roboto Condensed"/>
        <charset val="1"/>
      </rPr>
      <t> </t>
    </r>
  </si>
  <si>
    <t>Number of secondary schools with sciences laboratory</t>
  </si>
  <si>
    <t>% of school with sciences laboratory</t>
  </si>
  <si>
    <t>Number of secondary schools without sciences laboratory</t>
  </si>
  <si>
    <t>% of school without sciences laboratory</t>
  </si>
  <si>
    <t>Total number of schools with Internet connectivity</t>
  </si>
  <si>
    <t>Total number of schools without Internet connectivity</t>
  </si>
  <si>
    <t>Percentage of schools with Internet connectivity</t>
  </si>
  <si>
    <t>% Schools with Preprimary level</t>
  </si>
  <si>
    <t>% Schools with Primary level</t>
  </si>
  <si>
    <t>Overall number of schools with science kits</t>
  </si>
  <si>
    <t>Overall number of schools without science kits</t>
  </si>
  <si>
    <t>Percentage of schools with science kits</t>
  </si>
  <si>
    <t>Number of schools with projectors</t>
  </si>
  <si>
    <t>Number of schools without projectors</t>
  </si>
  <si>
    <t>Percentage of schools with projectors</t>
  </si>
  <si>
    <r>
      <t>Table 4.3.3</t>
    </r>
    <r>
      <rPr>
        <sz val="12"/>
        <rFont val="Roboto Condensed"/>
        <charset val="1"/>
      </rPr>
      <t>:</t>
    </r>
    <r>
      <rPr>
        <b/>
        <sz val="12"/>
        <rFont val="Roboto Condensed"/>
      </rPr>
      <t>S</t>
    </r>
    <r>
      <rPr>
        <b/>
        <sz val="12"/>
        <rFont val="Roboto Condensed"/>
        <charset val="1"/>
      </rPr>
      <t>martboard in schools </t>
    </r>
  </si>
  <si>
    <t>Number of schools with smartboard</t>
  </si>
  <si>
    <t>Number of schools without smartboard</t>
  </si>
  <si>
    <t>Percentage of schools with smartboard</t>
  </si>
  <si>
    <t>Number of computers</t>
  </si>
  <si>
    <t>Computers for learners</t>
  </si>
  <si>
    <t>Computers for administration</t>
  </si>
  <si>
    <t>Computers for teachers</t>
  </si>
  <si>
    <t>Total computers for learners</t>
  </si>
  <si>
    <t>In General, and Prof. secondary</t>
  </si>
  <si>
    <t>In TVET L1_L5</t>
  </si>
  <si>
    <t>In Polytechnics</t>
  </si>
  <si>
    <t>In General, Higher education</t>
  </si>
  <si>
    <t>Ratio: students per computer</t>
  </si>
  <si>
    <t>Table 4.4.3: Computers for teaching/academic staff</t>
  </si>
  <si>
    <t>Total computers for teaching staff</t>
  </si>
  <si>
    <t>General secondary</t>
  </si>
  <si>
    <t>TVET L1_L5</t>
  </si>
  <si>
    <t>6,007 </t>
  </si>
  <si>
    <t>Ratio: Teachers per Computer</t>
  </si>
  <si>
    <t> 4  </t>
  </si>
  <si>
    <t> 2  </t>
  </si>
  <si>
    <t> 1  </t>
  </si>
  <si>
    <t> 3  </t>
  </si>
  <si>
    <t>Table 4.4.4: Computers for administrative staff</t>
  </si>
  <si>
    <t>Ratio: administrative staff per Computer</t>
  </si>
  <si>
    <t>1  </t>
  </si>
  <si>
    <t> 1 </t>
  </si>
  <si>
    <t>Table 4.4.5: Availability of computers to schools</t>
  </si>
  <si>
    <t>Overall number of schools with computer</t>
  </si>
  <si>
    <t>Overall number of schools without any computer</t>
  </si>
  <si>
    <t>Percentage of schools with computer</t>
  </si>
  <si>
    <r>
      <t>Table 5.1.1</t>
    </r>
    <r>
      <rPr>
        <b/>
        <sz val="11"/>
        <rFont val="Roboto Condensed"/>
        <charset val="1"/>
      </rPr>
      <t>: Students books in preprimary schools by subject </t>
    </r>
  </si>
  <si>
    <t>Subjects</t>
  </si>
  <si>
    <t>Number of books </t>
  </si>
  <si>
    <t>Discovery of the World</t>
  </si>
  <si>
    <t>Numeracy</t>
  </si>
  <si>
    <t>Physical and Health development</t>
  </si>
  <si>
    <t>Creative arts and Culture</t>
  </si>
  <si>
    <t>Language and literacy: Kinyarwanda</t>
  </si>
  <si>
    <t>Language and literacy: English</t>
  </si>
  <si>
    <t>Average ratio per level</t>
  </si>
  <si>
    <r>
      <t>Table 5.1.2</t>
    </r>
    <r>
      <rPr>
        <b/>
        <sz val="11"/>
        <rFont val="Roboto Condensed"/>
        <charset val="1"/>
      </rPr>
      <t>: Books in use by primary students by subject </t>
    </r>
  </si>
  <si>
    <t>Subject</t>
  </si>
  <si>
    <t xml:space="preserve">Kinyarwanda </t>
  </si>
  <si>
    <t xml:space="preserve">English </t>
  </si>
  <si>
    <t xml:space="preserve">Mathematics </t>
  </si>
  <si>
    <t xml:space="preserve">Social and Religious Studies </t>
  </si>
  <si>
    <t>Elementary Science and Technology</t>
  </si>
  <si>
    <r>
      <t>Table 5.1.3</t>
    </r>
    <r>
      <rPr>
        <b/>
        <sz val="11"/>
        <rFont val="Roboto Condensed"/>
        <charset val="1"/>
      </rPr>
      <t>: Pupil: book ratio in lower secondary students by subject </t>
    </r>
  </si>
  <si>
    <t>Number of books</t>
  </si>
  <si>
    <t>Mathematics</t>
  </si>
  <si>
    <t>Chemistry</t>
  </si>
  <si>
    <t>Geography</t>
  </si>
  <si>
    <t>Biology</t>
  </si>
  <si>
    <t>English</t>
  </si>
  <si>
    <t>Physics</t>
  </si>
  <si>
    <t>Kinyarwanda</t>
  </si>
  <si>
    <t>Entrepreneurship</t>
  </si>
  <si>
    <t>History and Citizenship</t>
  </si>
  <si>
    <t>French</t>
  </si>
  <si>
    <t>ICT &amp; Computer Science</t>
  </si>
  <si>
    <r>
      <t>Table 5.1.4</t>
    </r>
    <r>
      <rPr>
        <b/>
        <sz val="11"/>
        <color theme="1"/>
        <rFont val="Roboto Condensed"/>
      </rPr>
      <t>: Students books in science combinations by Subject</t>
    </r>
  </si>
  <si>
    <r>
      <t>Subjects</t>
    </r>
    <r>
      <rPr>
        <sz val="11"/>
        <color rgb="FF000000"/>
        <rFont val="Roboto Condensed"/>
      </rPr>
      <t xml:space="preserve"> </t>
    </r>
  </si>
  <si>
    <t xml:space="preserve">Chemistry  </t>
  </si>
  <si>
    <t xml:space="preserve">Physics  </t>
  </si>
  <si>
    <t xml:space="preserve">Biology  </t>
  </si>
  <si>
    <t xml:space="preserve">Mathematics  </t>
  </si>
  <si>
    <t xml:space="preserve">Entrepreneurship </t>
  </si>
  <si>
    <t xml:space="preserve">Economics  </t>
  </si>
  <si>
    <t xml:space="preserve">Geography  </t>
  </si>
  <si>
    <t xml:space="preserve">Computer Science  </t>
  </si>
  <si>
    <t>Average ratio in science combination</t>
  </si>
  <si>
    <r>
      <t xml:space="preserve">Table 5.1.5: </t>
    </r>
    <r>
      <rPr>
        <b/>
        <sz val="11"/>
        <color theme="1"/>
        <rFont val="Roboto Condensed"/>
      </rPr>
      <t>Students books in humanities combinations by subject</t>
    </r>
  </si>
  <si>
    <t>Economics</t>
  </si>
  <si>
    <t>General Studies and Communication</t>
  </si>
  <si>
    <t>Average ratio in Humanities</t>
  </si>
  <si>
    <t> 5 </t>
  </si>
  <si>
    <r>
      <t>Table 5.1.6</t>
    </r>
    <r>
      <rPr>
        <b/>
        <sz val="11"/>
        <color theme="1"/>
        <rFont val="Roboto Condensed"/>
      </rPr>
      <t>: Students books in Language’s combinations by subject</t>
    </r>
  </si>
  <si>
    <t>Kiswahili</t>
  </si>
  <si>
    <t>Literature in English</t>
  </si>
  <si>
    <t>Average ratio in languages</t>
  </si>
  <si>
    <t> 6  </t>
  </si>
  <si>
    <r>
      <t>Table 5.1.7</t>
    </r>
    <r>
      <rPr>
        <b/>
        <sz val="11"/>
        <color theme="1"/>
        <rFont val="Roboto Condensed"/>
      </rPr>
      <t>: Students books in TTC’s combinations by subject</t>
    </r>
  </si>
  <si>
    <r>
      <t>2020/21</t>
    </r>
    <r>
      <rPr>
        <sz val="11"/>
        <color rgb="FF000000"/>
        <rFont val="Roboto Condensed"/>
      </rPr>
      <t xml:space="preserve"> </t>
    </r>
  </si>
  <si>
    <r>
      <t>2021/22</t>
    </r>
    <r>
      <rPr>
        <sz val="11"/>
        <color rgb="FF000000"/>
        <rFont val="Roboto Condensed"/>
      </rPr>
      <t xml:space="preserve"> </t>
    </r>
  </si>
  <si>
    <t xml:space="preserve">French </t>
  </si>
  <si>
    <t xml:space="preserve">Foundation of Education </t>
  </si>
  <si>
    <t>Average ratio in TTCs</t>
  </si>
  <si>
    <t> 5  </t>
  </si>
  <si>
    <t> 8  </t>
  </si>
  <si>
    <t>ON GRID ELECTRICITY</t>
  </si>
  <si>
    <t>Overall number of schools with</t>
  </si>
  <si>
    <t>Overall number of schools without</t>
  </si>
  <si>
    <t>Percentage of schools with</t>
  </si>
  <si>
    <t>SOLAR POWER</t>
  </si>
  <si>
    <t>Table 6.2.2: Electric power generator in schools</t>
  </si>
  <si>
    <t>ELECTRIC POWER GENERATOR</t>
  </si>
  <si>
    <t>Table 6.2.3: Biogas system in schools</t>
  </si>
  <si>
    <t>BIOGAS SYSTEM</t>
  </si>
  <si>
    <t>TAP WATER SUPPLY</t>
  </si>
  <si>
    <t xml:space="preserve">Overall number of schools with </t>
  </si>
  <si>
    <t xml:space="preserve">Overall number of schools without </t>
  </si>
  <si>
    <t xml:space="preserve">Percentage of schools with </t>
  </si>
  <si>
    <t>Safe drinking water</t>
  </si>
  <si>
    <t>Overall number of schools with safe drinking water</t>
  </si>
  <si>
    <t>Overall number of schools without safe drinking water</t>
  </si>
  <si>
    <t>Percentage of schools with safe drinking water</t>
  </si>
  <si>
    <t>Rainwater harvesting system</t>
  </si>
  <si>
    <t>Percentage of school with</t>
  </si>
  <si>
    <t>handwashing facilities</t>
  </si>
  <si>
    <t>single sex toilets</t>
  </si>
  <si>
    <t>Overall number of schools with single sex toilets</t>
  </si>
  <si>
    <t>Overall number of schools without single sex toilets</t>
  </si>
  <si>
    <t>Percentage of schools with single sex toilets</t>
  </si>
  <si>
    <t>Number of toilets in the school</t>
  </si>
  <si>
    <t>For female</t>
  </si>
  <si>
    <t>For Male</t>
  </si>
  <si>
    <t>For pupils</t>
  </si>
  <si>
    <t>For Female pupils</t>
  </si>
  <si>
    <t>For Male pupils</t>
  </si>
  <si>
    <t>For staff</t>
  </si>
  <si>
    <t>For female staff</t>
  </si>
  <si>
    <t>For Male staff</t>
  </si>
  <si>
    <t>Users per toilet</t>
  </si>
  <si>
    <t>Students per toilet</t>
  </si>
  <si>
    <t>Female pupils</t>
  </si>
  <si>
    <t>Male pupils</t>
  </si>
  <si>
    <t>Staff per toilets</t>
  </si>
  <si>
    <t>Female staff</t>
  </si>
  <si>
    <t>Male staff</t>
  </si>
  <si>
    <r>
      <t>Table 7.1.1</t>
    </r>
    <r>
      <rPr>
        <b/>
        <sz val="11"/>
        <color theme="1"/>
        <rFont val="Roboto Condensed"/>
      </rPr>
      <t>: Number of learners fed at schools</t>
    </r>
  </si>
  <si>
    <t>Total number of students fed at school</t>
  </si>
  <si>
    <t>Gen. and prof. Secondary level</t>
  </si>
  <si>
    <t>Percentage of students fed at school</t>
  </si>
  <si>
    <t>Table 7.2.1: Number of schools providing meals to students</t>
  </si>
  <si>
    <t>Number of schools providing meals to students</t>
  </si>
  <si>
    <t>Number of schools not providing meals to students</t>
  </si>
  <si>
    <t>Percentage of schools providing meals to students</t>
  </si>
  <si>
    <t>20221/22</t>
  </si>
  <si>
    <t>Overall number of schools with Nutrition Garden</t>
  </si>
  <si>
    <t>Overall number of schools without Nutrition Garden</t>
  </si>
  <si>
    <t>Percentage of schools with Nutrition Garden</t>
  </si>
  <si>
    <t>%Schools with Preprimary level</t>
  </si>
  <si>
    <t>%Schools with Primary level</t>
  </si>
  <si>
    <t>%Schools with Gen. and prof. Secondary level</t>
  </si>
  <si>
    <t>%Schools with TVET L1-L5 levels</t>
  </si>
  <si>
    <t>Type of fuel</t>
  </si>
  <si>
    <t>firewood</t>
  </si>
  <si>
    <t>Gas</t>
  </si>
  <si>
    <t>biogas</t>
  </si>
  <si>
    <t>Electricity</t>
  </si>
  <si>
    <t>peat_and_kerosene</t>
  </si>
  <si>
    <t>Overall number of schools using</t>
  </si>
  <si>
    <t>Total Number of schools not using</t>
  </si>
  <si>
    <r>
      <t>Source</t>
    </r>
    <r>
      <rPr>
        <i/>
        <sz val="10"/>
        <rFont val="Roboto Condensed"/>
        <charset val="1"/>
      </rPr>
      <t>: School census, Ministry of education</t>
    </r>
    <r>
      <rPr>
        <sz val="10"/>
        <rFont val="Roboto Condensed"/>
        <charset val="1"/>
      </rPr>
      <t> </t>
    </r>
  </si>
  <si>
    <t>Table 8.1.1: Adapted infrastructure and materials for learners with disability</t>
  </si>
  <si>
    <r>
      <t>Source:</t>
    </r>
    <r>
      <rPr>
        <sz val="10"/>
        <rFont val="Roboto Condensed"/>
        <charset val="1"/>
      </rPr>
      <t xml:space="preserve"> </t>
    </r>
    <r>
      <rPr>
        <i/>
        <sz val="10"/>
        <rFont val="Roboto Condensed"/>
        <charset val="1"/>
      </rPr>
      <t>School census, Ministry of Education</t>
    </r>
    <r>
      <rPr>
        <sz val="10"/>
        <rFont val="Roboto Condensed"/>
        <charset val="1"/>
      </rPr>
      <t> </t>
    </r>
  </si>
  <si>
    <t>Table 8.1.2: Accessible toilets for people with disability</t>
  </si>
  <si>
    <t>Government subsidized</t>
  </si>
  <si>
    <t>880  </t>
  </si>
  <si>
    <t> 1,062  </t>
  </si>
  <si>
    <t> 301  </t>
  </si>
  <si>
    <t> 712  </t>
  </si>
  <si>
    <t> 957  </t>
  </si>
  <si>
    <t> 237  </t>
  </si>
  <si>
    <t> 778  </t>
  </si>
  <si>
    <t> 1,014  </t>
  </si>
  <si>
    <t> 393  </t>
  </si>
  <si>
    <t> 547  </t>
  </si>
  <si>
    <t> 37  </t>
  </si>
  <si>
    <t> 87  </t>
  </si>
  <si>
    <t> 44  </t>
  </si>
  <si>
    <t> 688  </t>
  </si>
  <si>
    <t> 1,003  </t>
  </si>
  <si>
    <t> 989  </t>
  </si>
  <si>
    <t> 531  </t>
  </si>
  <si>
    <t> 838  </t>
  </si>
  <si>
    <t> 776  </t>
  </si>
  <si>
    <t> 548  </t>
  </si>
  <si>
    <t> 877  </t>
  </si>
  <si>
    <t> 522  </t>
  </si>
  <si>
    <t> 336  </t>
  </si>
  <si>
    <t> 142  </t>
  </si>
  <si>
    <t> 81  </t>
  </si>
  <si>
    <t> 65  </t>
  </si>
  <si>
    <t> 149  </t>
  </si>
  <si>
    <t>56.1% </t>
  </si>
  <si>
    <t>51.4% </t>
  </si>
  <si>
    <t>23.3% </t>
  </si>
  <si>
    <t>57.3% </t>
  </si>
  <si>
    <t>23.4% </t>
  </si>
  <si>
    <t>58.7% </t>
  </si>
  <si>
    <t>53.6% </t>
  </si>
  <si>
    <t>27.0% </t>
  </si>
  <si>
    <t>51.2% </t>
  </si>
  <si>
    <t>20.7% </t>
  </si>
  <si>
    <t>51.8% </t>
  </si>
  <si>
    <t>40.4% </t>
  </si>
  <si>
    <t>22.8% </t>
  </si>
  <si>
    <r>
      <t>Table 8.2.1</t>
    </r>
    <r>
      <rPr>
        <b/>
        <sz val="11"/>
        <color theme="1"/>
        <rFont val="Roboto Condensed"/>
      </rPr>
      <t>: Total schools Staff trained in special needs and inclusive education.</t>
    </r>
  </si>
  <si>
    <t>Total staff trained in SNE</t>
  </si>
  <si>
    <t>Teaching staff trained in SNE</t>
  </si>
  <si>
    <t>Administrative staff trained in SNE</t>
  </si>
  <si>
    <r>
      <t>Table 8.2.2</t>
    </r>
    <r>
      <rPr>
        <b/>
        <sz val="11"/>
        <rFont val="Roboto Condensed"/>
        <charset val="1"/>
      </rPr>
      <t>: Teaching staff trained in special needs and inclusive education </t>
    </r>
  </si>
  <si>
    <t>Total teaching staff trained in SNE</t>
  </si>
  <si>
    <t xml:space="preserve">Preprimary teaching staff </t>
  </si>
  <si>
    <t xml:space="preserve">Primary teaching staff </t>
  </si>
  <si>
    <t xml:space="preserve">Gen. and Prof. Secondary </t>
  </si>
  <si>
    <r>
      <t>Table 8.3.1</t>
    </r>
    <r>
      <rPr>
        <b/>
        <sz val="11"/>
        <rFont val="Roboto Condensed"/>
        <charset val="1"/>
      </rPr>
      <t>: Total number of learners with disability </t>
    </r>
  </si>
  <si>
    <r>
      <t>Indicator/Year</t>
    </r>
    <r>
      <rPr>
        <sz val="11"/>
        <rFont val="Roboto Condensed"/>
        <charset val="1"/>
      </rPr>
      <t> </t>
    </r>
  </si>
  <si>
    <r>
      <t>2017</t>
    </r>
    <r>
      <rPr>
        <sz val="11"/>
        <rFont val="Roboto Condensed"/>
        <charset val="1"/>
      </rPr>
      <t> </t>
    </r>
  </si>
  <si>
    <r>
      <t>2018</t>
    </r>
    <r>
      <rPr>
        <sz val="11"/>
        <rFont val="Roboto Condensed"/>
        <charset val="1"/>
      </rPr>
      <t> </t>
    </r>
  </si>
  <si>
    <r>
      <t>2019</t>
    </r>
    <r>
      <rPr>
        <sz val="11"/>
        <rFont val="Roboto Condensed"/>
        <charset val="1"/>
      </rPr>
      <t> </t>
    </r>
  </si>
  <si>
    <r>
      <t>2020/21</t>
    </r>
    <r>
      <rPr>
        <sz val="11"/>
        <rFont val="Roboto Condensed"/>
        <charset val="1"/>
      </rPr>
      <t> </t>
    </r>
  </si>
  <si>
    <r>
      <t>2021/22</t>
    </r>
    <r>
      <rPr>
        <sz val="11"/>
        <rFont val="Roboto Condensed"/>
        <charset val="1"/>
      </rPr>
      <t> </t>
    </r>
  </si>
  <si>
    <r>
      <t>2022/23</t>
    </r>
    <r>
      <rPr>
        <sz val="11"/>
        <rFont val="Roboto Condensed"/>
        <charset val="1"/>
      </rPr>
      <t> </t>
    </r>
  </si>
  <si>
    <r>
      <t>Total l</t>
    </r>
    <r>
      <rPr>
        <b/>
        <sz val="12"/>
        <rFont val="Roboto Condensed"/>
        <charset val="1"/>
      </rPr>
      <t>earners with disability</t>
    </r>
    <r>
      <rPr>
        <sz val="12"/>
        <rFont val="Roboto Condensed"/>
        <charset val="1"/>
      </rPr>
      <t> </t>
    </r>
  </si>
  <si>
    <t> Male </t>
  </si>
  <si>
    <t> Female </t>
  </si>
  <si>
    <r>
      <t>% of Male</t>
    </r>
    <r>
      <rPr>
        <sz val="11"/>
        <rFont val="Roboto Condensed"/>
        <charset val="1"/>
      </rPr>
      <t> </t>
    </r>
  </si>
  <si>
    <r>
      <t>% of Female</t>
    </r>
    <r>
      <rPr>
        <sz val="11"/>
        <rFont val="Roboto Condensed"/>
        <charset val="1"/>
      </rPr>
      <t> </t>
    </r>
  </si>
  <si>
    <r>
      <t>In Preprimary </t>
    </r>
    <r>
      <rPr>
        <sz val="11"/>
        <rFont val="Roboto Condensed"/>
        <charset val="1"/>
      </rPr>
      <t> </t>
    </r>
  </si>
  <si>
    <r>
      <t>In Primary</t>
    </r>
    <r>
      <rPr>
        <sz val="11"/>
        <rFont val="Roboto Condensed"/>
        <charset val="1"/>
      </rPr>
      <t> </t>
    </r>
  </si>
  <si>
    <r>
      <t>Gen and prof. secondary</t>
    </r>
    <r>
      <rPr>
        <sz val="11"/>
        <rFont val="Roboto Condensed"/>
        <charset val="1"/>
      </rPr>
      <t> </t>
    </r>
  </si>
  <si>
    <r>
      <t>In TVET L1 to L5</t>
    </r>
    <r>
      <rPr>
        <sz val="11"/>
        <rFont val="Roboto Condensed"/>
        <charset val="1"/>
      </rPr>
      <t> </t>
    </r>
  </si>
  <si>
    <r>
      <t>In Higher education</t>
    </r>
    <r>
      <rPr>
        <sz val="11"/>
        <rFont val="Roboto Condensed"/>
        <charset val="1"/>
      </rPr>
      <t> </t>
    </r>
  </si>
  <si>
    <r>
      <t>In Adult literacy</t>
    </r>
    <r>
      <rPr>
        <sz val="11"/>
        <rFont val="Roboto Condensed"/>
        <charset val="1"/>
      </rPr>
      <t> </t>
    </r>
  </si>
  <si>
    <r>
      <t>Type of disability</t>
    </r>
    <r>
      <rPr>
        <sz val="11"/>
        <rFont val="Roboto Condensed"/>
        <charset val="1"/>
      </rPr>
      <t> </t>
    </r>
  </si>
  <si>
    <t>Physical and Motor Challenges </t>
  </si>
  <si>
    <t>Specific Learning Difficulties </t>
  </si>
  <si>
    <t>Visual impairment </t>
  </si>
  <si>
    <t>Hearing Impairment </t>
  </si>
  <si>
    <t>Developmental challenges </t>
  </si>
  <si>
    <t>Speech, language, and communication difficulties </t>
  </si>
  <si>
    <t>Multiple disabilities/Difficulties </t>
  </si>
  <si>
    <t>Intellectual disabilities/ challenges </t>
  </si>
  <si>
    <t>Autism spectrum disorder </t>
  </si>
  <si>
    <r>
      <t>0</t>
    </r>
    <r>
      <rPr>
        <sz val="11"/>
        <color rgb="FF000000"/>
        <rFont val="Roboto Condensed"/>
        <charset val="1"/>
      </rPr>
      <t> </t>
    </r>
  </si>
  <si>
    <t>Emotional and behavioral disorder </t>
  </si>
  <si>
    <r>
      <t>Total</t>
    </r>
    <r>
      <rPr>
        <sz val="11"/>
        <rFont val="Roboto Condensed"/>
        <charset val="1"/>
      </rPr>
      <t> </t>
    </r>
  </si>
  <si>
    <t>Rwanda</t>
  </si>
  <si>
    <r>
      <t>Type of disability</t>
    </r>
    <r>
      <rPr>
        <sz val="10.5"/>
        <rFont val="Roboto Condensed"/>
        <charset val="1"/>
      </rPr>
      <t> </t>
    </r>
  </si>
  <si>
    <r>
      <t>Preprimary</t>
    </r>
    <r>
      <rPr>
        <sz val="10.5"/>
        <rFont val="Roboto Condensed"/>
        <charset val="1"/>
      </rPr>
      <t> </t>
    </r>
  </si>
  <si>
    <r>
      <t>Primary</t>
    </r>
    <r>
      <rPr>
        <sz val="10.5"/>
        <rFont val="Roboto Condensed"/>
        <charset val="1"/>
      </rPr>
      <t> </t>
    </r>
  </si>
  <si>
    <r>
      <t>Male</t>
    </r>
    <r>
      <rPr>
        <sz val="10.5"/>
        <rFont val="Roboto Condensed"/>
        <charset val="1"/>
      </rPr>
      <t> </t>
    </r>
  </si>
  <si>
    <r>
      <t>Female</t>
    </r>
    <r>
      <rPr>
        <sz val="10.5"/>
        <rFont val="Roboto Condensed"/>
        <charset val="1"/>
      </rPr>
      <t> </t>
    </r>
  </si>
  <si>
    <r>
      <t>Total</t>
    </r>
    <r>
      <rPr>
        <sz val="10.5"/>
        <rFont val="Roboto Condensed"/>
        <charset val="1"/>
      </rPr>
      <t> </t>
    </r>
  </si>
  <si>
    <t>0 </t>
  </si>
  <si>
    <t>Deaf blind </t>
  </si>
  <si>
    <r>
      <t>Type of disability</t>
    </r>
    <r>
      <rPr>
        <sz val="12"/>
        <rFont val="Roboto Condensed"/>
        <charset val="1"/>
      </rPr>
      <t> </t>
    </r>
  </si>
  <si>
    <r>
      <t>Secondary</t>
    </r>
    <r>
      <rPr>
        <sz val="12"/>
        <rFont val="Roboto Condensed"/>
        <charset val="1"/>
      </rPr>
      <t> </t>
    </r>
  </si>
  <si>
    <r>
      <t>TVET</t>
    </r>
    <r>
      <rPr>
        <sz val="12"/>
        <rFont val="Roboto Condensed"/>
        <charset val="1"/>
      </rPr>
      <t> </t>
    </r>
  </si>
  <si>
    <r>
      <t>Male</t>
    </r>
    <r>
      <rPr>
        <sz val="12"/>
        <rFont val="Roboto Condensed"/>
        <charset val="1"/>
      </rPr>
      <t> </t>
    </r>
  </si>
  <si>
    <r>
      <t>Female</t>
    </r>
    <r>
      <rPr>
        <sz val="12"/>
        <rFont val="Roboto Condensed"/>
        <charset val="1"/>
      </rPr>
      <t> </t>
    </r>
  </si>
  <si>
    <r>
      <t>Total</t>
    </r>
    <r>
      <rPr>
        <sz val="12"/>
        <rFont val="Roboto Condensed"/>
        <charset val="1"/>
      </rPr>
      <t> </t>
    </r>
  </si>
  <si>
    <t>Specific Learning Difficulties  </t>
  </si>
  <si>
    <t>Speech, language, and communication needs </t>
  </si>
  <si>
    <r>
      <t>Higher education</t>
    </r>
    <r>
      <rPr>
        <sz val="10.5"/>
        <rFont val="Roboto Condensed"/>
        <charset val="1"/>
      </rPr>
      <t> </t>
    </r>
  </si>
  <si>
    <r>
      <t>Adult literacy</t>
    </r>
    <r>
      <rPr>
        <sz val="10.5"/>
        <rFont val="Roboto Condensed"/>
        <charset val="1"/>
      </rPr>
      <t> </t>
    </r>
  </si>
  <si>
    <t>Deaf blind  </t>
  </si>
  <si>
    <r>
      <t>Table 8.4.1</t>
    </r>
    <r>
      <rPr>
        <b/>
        <sz val="11"/>
        <color theme="1"/>
        <rFont val="Roboto Condensed"/>
      </rPr>
      <t>: Number of Refugee students by levels of education</t>
    </r>
  </si>
  <si>
    <t>Total Refugee Students</t>
  </si>
  <si>
    <t xml:space="preserve">In Preprimary </t>
  </si>
  <si>
    <t>Gen and prof. secondary</t>
  </si>
  <si>
    <t>In TVET L1 to L5</t>
  </si>
  <si>
    <r>
      <t xml:space="preserve">Table 8.4.2: </t>
    </r>
    <r>
      <rPr>
        <b/>
        <sz val="11"/>
        <color theme="1"/>
        <rFont val="Roboto Condensed"/>
      </rPr>
      <t>Number of Refugee students by school status</t>
    </r>
  </si>
  <si>
    <t>Refugee Students in Public schools</t>
  </si>
  <si>
    <t>Refugee Students in Government-subsidized schools</t>
  </si>
  <si>
    <t>Refugee Students in Private schools</t>
  </si>
  <si>
    <r>
      <t>Table 8.5.1</t>
    </r>
    <r>
      <rPr>
        <b/>
        <sz val="11"/>
        <color theme="1"/>
        <rFont val="Roboto Condensed"/>
      </rPr>
      <t>: Number of orphans learners by level of education</t>
    </r>
  </si>
  <si>
    <t>2022/23 </t>
  </si>
  <si>
    <t xml:space="preserve">Total number of orphans students </t>
  </si>
  <si>
    <t>Total number of orphan students</t>
  </si>
  <si>
    <t>Mother deceased</t>
  </si>
  <si>
    <t>Father deceased</t>
  </si>
  <si>
    <t>Both parents deceased</t>
  </si>
  <si>
    <r>
      <t>Table 8.6.1</t>
    </r>
    <r>
      <rPr>
        <b/>
        <sz val="11"/>
        <rFont val="Roboto Condensed"/>
        <charset val="1"/>
      </rPr>
      <t>: Learners in correctional centers </t>
    </r>
  </si>
  <si>
    <r>
      <t>% of Male</t>
    </r>
    <r>
      <rPr>
        <sz val="12"/>
        <color rgb="FF000000"/>
        <rFont val="Roboto Condensed"/>
        <charset val="1"/>
      </rPr>
      <t> </t>
    </r>
  </si>
  <si>
    <r>
      <t>% of Female</t>
    </r>
    <r>
      <rPr>
        <sz val="12"/>
        <color rgb="FF000000"/>
        <rFont val="Roboto Condensed"/>
        <charset val="1"/>
      </rPr>
      <t> </t>
    </r>
  </si>
  <si>
    <r>
      <t>Learners in pre-nursery</t>
    </r>
    <r>
      <rPr>
        <sz val="12"/>
        <color rgb="FF000000"/>
        <rFont val="Roboto Condensed"/>
        <charset val="1"/>
      </rPr>
      <t> </t>
    </r>
  </si>
  <si>
    <r>
      <t>Learners in Preprimary</t>
    </r>
    <r>
      <rPr>
        <sz val="12"/>
        <color rgb="FF000000"/>
        <rFont val="Roboto Condensed"/>
        <charset val="1"/>
      </rPr>
      <t> </t>
    </r>
  </si>
  <si>
    <r>
      <t>Pupils in primary</t>
    </r>
    <r>
      <rPr>
        <sz val="12"/>
        <color rgb="FF000000"/>
        <rFont val="Roboto Condensed"/>
        <charset val="1"/>
      </rPr>
      <t> </t>
    </r>
  </si>
  <si>
    <r>
      <t>Students in secondary</t>
    </r>
    <r>
      <rPr>
        <sz val="12"/>
        <color rgb="FF000000"/>
        <rFont val="Roboto Condensed"/>
        <charset val="1"/>
      </rPr>
      <t> </t>
    </r>
  </si>
  <si>
    <r>
      <t>Trainees in TVET</t>
    </r>
    <r>
      <rPr>
        <sz val="12"/>
        <color rgb="FF000000"/>
        <rFont val="Roboto Condensed"/>
        <charset val="1"/>
      </rPr>
      <t> </t>
    </r>
  </si>
  <si>
    <r>
      <t>Learners in Adult literacy</t>
    </r>
    <r>
      <rPr>
        <sz val="12"/>
        <color rgb="FF000000"/>
        <rFont val="Roboto Condensed"/>
        <charset val="1"/>
      </rPr>
      <t> </t>
    </r>
  </si>
  <si>
    <r>
      <t>Annex 1</t>
    </r>
    <r>
      <rPr>
        <b/>
        <sz val="12"/>
        <color rgb="FF000000"/>
        <rFont val="Roboto Condensed"/>
      </rPr>
      <t>: Number of schools with Preprimary level by district</t>
    </r>
  </si>
  <si>
    <t>District/Province</t>
  </si>
  <si>
    <t>Gisagara</t>
  </si>
  <si>
    <t>Huye</t>
  </si>
  <si>
    <t>Kamonyi</t>
  </si>
  <si>
    <t>Muhanga</t>
  </si>
  <si>
    <t>Nyamagabe</t>
  </si>
  <si>
    <t>Nyanza</t>
  </si>
  <si>
    <t>Nyaruguru</t>
  </si>
  <si>
    <t>Ruhango</t>
  </si>
  <si>
    <t>South</t>
  </si>
  <si>
    <t>Karongi</t>
  </si>
  <si>
    <t>Ngororero</t>
  </si>
  <si>
    <t>Nyabihu</t>
  </si>
  <si>
    <t>Nyamasheke</t>
  </si>
  <si>
    <t>Rubavu</t>
  </si>
  <si>
    <t>Rusizi</t>
  </si>
  <si>
    <t>Rutsiro</t>
  </si>
  <si>
    <t>West</t>
  </si>
  <si>
    <t>Bugesera</t>
  </si>
  <si>
    <t>Gatsibo</t>
  </si>
  <si>
    <t>Kayonza</t>
  </si>
  <si>
    <t>Kirehe</t>
  </si>
  <si>
    <t>Ngoma</t>
  </si>
  <si>
    <t>Nyagatare</t>
  </si>
  <si>
    <t>Rwamagana</t>
  </si>
  <si>
    <t>East</t>
  </si>
  <si>
    <t>Burera</t>
  </si>
  <si>
    <t>Gakenke</t>
  </si>
  <si>
    <t>Gicumbi</t>
  </si>
  <si>
    <t>Musanze</t>
  </si>
  <si>
    <t>Rulindo</t>
  </si>
  <si>
    <t>North</t>
  </si>
  <si>
    <t>Gasabo</t>
  </si>
  <si>
    <t>Kicukiro</t>
  </si>
  <si>
    <t>Nyarugenge</t>
  </si>
  <si>
    <t>Kigali City</t>
  </si>
  <si>
    <r>
      <t>Annex 2</t>
    </r>
    <r>
      <rPr>
        <b/>
        <sz val="12"/>
        <color rgb="FF000000"/>
        <rFont val="Roboto Condensed"/>
      </rPr>
      <t>: Number of schools with Primary level by district</t>
    </r>
  </si>
  <si>
    <t>Kigali city</t>
  </si>
  <si>
    <r>
      <t>Annex 3</t>
    </r>
    <r>
      <rPr>
        <b/>
        <sz val="12"/>
        <color rgb="FF000000"/>
        <rFont val="Roboto Condensed"/>
      </rPr>
      <t>: Number of schools with general &amp; professional secondary level by district</t>
    </r>
  </si>
  <si>
    <r>
      <t>Annex 4</t>
    </r>
    <r>
      <rPr>
        <b/>
        <sz val="12"/>
        <color rgb="FF000000"/>
        <rFont val="Roboto Condensed"/>
      </rPr>
      <t>: Number of schools with TVET L1 to 5 by district</t>
    </r>
  </si>
  <si>
    <r>
      <t>Annex 5</t>
    </r>
    <r>
      <rPr>
        <b/>
        <sz val="12"/>
        <color rgb="FF000000"/>
        <rFont val="Roboto Condensed"/>
      </rPr>
      <t>: Number of Higher education campuses per districts</t>
    </r>
  </si>
  <si>
    <t>District/Provinces</t>
  </si>
  <si>
    <t>Northern</t>
  </si>
  <si>
    <r>
      <t>Annex 6</t>
    </r>
    <r>
      <rPr>
        <b/>
        <sz val="12"/>
        <color rgb="FF000000"/>
        <rFont val="Roboto Condensed"/>
      </rPr>
      <t>: Number of Adult literacy centers by district</t>
    </r>
  </si>
  <si>
    <r>
      <t>Annex 7</t>
    </r>
    <r>
      <rPr>
        <b/>
        <sz val="12"/>
        <color rgb="FF000000"/>
        <rFont val="Roboto Condensed"/>
      </rPr>
      <t>: Number of classrooms in use in Preprimary by district</t>
    </r>
  </si>
  <si>
    <r>
      <t>Annex 8</t>
    </r>
    <r>
      <rPr>
        <b/>
        <sz val="12"/>
        <color rgb="FF000000"/>
        <rFont val="Roboto Condensed"/>
      </rPr>
      <t>: Number of classrooms in use in Primary by district</t>
    </r>
  </si>
  <si>
    <r>
      <t>Annex 9</t>
    </r>
    <r>
      <rPr>
        <b/>
        <sz val="12"/>
        <color rgb="FF000000"/>
        <rFont val="Roboto Condensed"/>
      </rPr>
      <t>: Number of classrooms in use in general and professional secondary</t>
    </r>
  </si>
  <si>
    <r>
      <t>Annex 10</t>
    </r>
    <r>
      <rPr>
        <b/>
        <sz val="12"/>
        <color rgb="FF000000"/>
        <rFont val="Roboto Condensed"/>
      </rPr>
      <t>: Number of classrooms in use in TVET L1 to L5 by district</t>
    </r>
  </si>
  <si>
    <r>
      <t>Annex 11</t>
    </r>
    <r>
      <rPr>
        <b/>
        <sz val="12"/>
        <color rgb="FF000000"/>
        <rFont val="Roboto Condensed"/>
      </rPr>
      <t>: Number of Preprimary pupils per district</t>
    </r>
  </si>
  <si>
    <r>
      <t xml:space="preserve">Annex 12: </t>
    </r>
    <r>
      <rPr>
        <b/>
        <sz val="12"/>
        <color rgb="FF000000"/>
        <rFont val="Roboto Condensed"/>
      </rPr>
      <t>Number of enrolled Primary pupils by District</t>
    </r>
  </si>
  <si>
    <r>
      <t xml:space="preserve">Annex 13: </t>
    </r>
    <r>
      <rPr>
        <b/>
        <sz val="12"/>
        <color rgb="FF000000"/>
        <rFont val="Roboto Condensed"/>
      </rPr>
      <t>Number of students in general secondary schools by district</t>
    </r>
  </si>
  <si>
    <r>
      <t xml:space="preserve">Annex 14: </t>
    </r>
    <r>
      <rPr>
        <b/>
        <sz val="12"/>
        <color rgb="FF000000"/>
        <rFont val="Roboto Condensed"/>
      </rPr>
      <t>Number of TVET L1 to L5 Trainees by district</t>
    </r>
  </si>
  <si>
    <r>
      <t xml:space="preserve">Annex 15: </t>
    </r>
    <r>
      <rPr>
        <b/>
        <sz val="12"/>
        <color rgb="FF000000"/>
        <rFont val="Roboto Condensed"/>
      </rPr>
      <t>Number of Higher education students per districts</t>
    </r>
  </si>
  <si>
    <r>
      <t>Source</t>
    </r>
    <r>
      <rPr>
        <i/>
        <sz val="10"/>
        <color rgb="FF000000"/>
        <rFont val="Roboto Condensed"/>
        <charset val="1"/>
      </rPr>
      <t>: School census, Ministry of Education</t>
    </r>
    <r>
      <rPr>
        <sz val="10"/>
        <color rgb="FF000000"/>
        <rFont val="Roboto Condensed"/>
        <charset val="1"/>
      </rPr>
      <t> </t>
    </r>
  </si>
  <si>
    <r>
      <t xml:space="preserve">Annex 16: </t>
    </r>
    <r>
      <rPr>
        <b/>
        <sz val="12"/>
        <color rgb="FF000000"/>
        <rFont val="Roboto Condensed"/>
      </rPr>
      <t>Number of adult literacy learners by district</t>
    </r>
  </si>
  <si>
    <t>2.3% </t>
  </si>
  <si>
    <t>3.5% </t>
  </si>
  <si>
    <t>0.6% </t>
  </si>
  <si>
    <t>2.5% </t>
  </si>
  <si>
    <t>2.0% </t>
  </si>
  <si>
    <t>1.8% </t>
  </si>
  <si>
    <t>7.2% </t>
  </si>
  <si>
    <t>18.3% </t>
  </si>
  <si>
    <t>16.3% </t>
  </si>
  <si>
    <t>2.4% </t>
  </si>
  <si>
    <t>1.7% </t>
  </si>
  <si>
    <t>20.2% </t>
  </si>
  <si>
    <t>20.3% </t>
  </si>
  <si>
    <t>20.1% </t>
  </si>
  <si>
    <t>3.2% </t>
  </si>
  <si>
    <r>
      <t xml:space="preserve">Annex 20: </t>
    </r>
    <r>
      <rPr>
        <b/>
        <sz val="11"/>
        <color rgb="FF000000"/>
        <rFont val="Roboto Condensed"/>
      </rPr>
      <t>Number of Preprimary Teaching staff per district</t>
    </r>
  </si>
  <si>
    <r>
      <t xml:space="preserve">Annex 21: </t>
    </r>
    <r>
      <rPr>
        <b/>
        <sz val="11"/>
        <color rgb="FF000000"/>
        <rFont val="Roboto Condensed"/>
      </rPr>
      <t>Number of Primary Teaching staff by District</t>
    </r>
  </si>
  <si>
    <r>
      <t xml:space="preserve">Annex 22: </t>
    </r>
    <r>
      <rPr>
        <b/>
        <sz val="11"/>
        <color rgb="FF000000"/>
        <rFont val="Roboto Condensed"/>
      </rPr>
      <t>Number Teaching staff in general secondary by district</t>
    </r>
  </si>
  <si>
    <r>
      <t xml:space="preserve">Annex 23: </t>
    </r>
    <r>
      <rPr>
        <b/>
        <sz val="11"/>
        <color rgb="FF000000"/>
        <rFont val="Roboto Condensed"/>
      </rPr>
      <t>Number of TVET L1 to L5 Teaching staff by district</t>
    </r>
  </si>
  <si>
    <r>
      <t xml:space="preserve">Annex 24: </t>
    </r>
    <r>
      <rPr>
        <b/>
        <sz val="11"/>
        <color rgb="FF000000"/>
        <rFont val="Roboto Condensed"/>
      </rPr>
      <t>Number of Adult literacy instructors by district</t>
    </r>
  </si>
  <si>
    <t>Table 2.11.4: Transition rate from secondary to Higher education</t>
  </si>
  <si>
    <r>
      <t>Table 8.3.4</t>
    </r>
    <r>
      <rPr>
        <b/>
        <sz val="11"/>
        <color rgb="FF000000"/>
        <rFont val="Roboto Condensed"/>
      </rPr>
      <t xml:space="preserve">:Learners with disability in Higher education and adult literacy by type in 2022/23 </t>
    </r>
  </si>
  <si>
    <t xml:space="preserve">Table 1.3.6: Number and Percentage of schools meeting the Standard PCR </t>
  </si>
  <si>
    <t xml:space="preserve">Table1. 3.7: Availability of girls’ room </t>
  </si>
  <si>
    <t>Table 1.3.7:  Availability of girls’ room</t>
  </si>
  <si>
    <t>Table 8.3.2: Total number of learners with disability by type </t>
  </si>
  <si>
    <t>Table 8.3.3: Learners with disability in pre-primary and primary by type in 2021/22</t>
  </si>
  <si>
    <t>Table 8.3.4: Learners with disability in secondary  and TVET by type in 2021/22</t>
  </si>
  <si>
    <t>Table 8.3.5: Learners with disability in Higher education and adult literacy by type in 2021/22</t>
  </si>
  <si>
    <r>
      <t>Table 8.3.3</t>
    </r>
    <r>
      <rPr>
        <b/>
        <sz val="11"/>
        <color rgb="FF000000"/>
        <rFont val="Roboto Condensed"/>
        <charset val="1"/>
      </rPr>
      <t>: Total number of learners with disability by type </t>
    </r>
  </si>
  <si>
    <r>
      <t>Table 8.3.4</t>
    </r>
    <r>
      <rPr>
        <b/>
        <sz val="11"/>
        <color rgb="FF000000"/>
        <rFont val="Roboto Condensed"/>
      </rPr>
      <t>:  Learners with disability in pre-primary and primary by type in 2022/23</t>
    </r>
  </si>
  <si>
    <r>
      <t>Table 8.3.5</t>
    </r>
    <r>
      <rPr>
        <b/>
        <sz val="11"/>
        <color rgb="FF000000"/>
        <rFont val="Roboto Condensed"/>
      </rPr>
      <t xml:space="preserve">: Learners with disability in secondary and TVET by type in 2022/23 </t>
    </r>
  </si>
  <si>
    <t>Leaning area</t>
  </si>
  <si>
    <t>learning area</t>
  </si>
  <si>
    <t xml:space="preserve">Science </t>
  </si>
  <si>
    <t xml:space="preserve">Humanities </t>
  </si>
  <si>
    <t>18-22 years</t>
  </si>
  <si>
    <t xml:space="preserve"> -   </t>
  </si>
  <si>
    <r>
      <t>Table 8.5.2</t>
    </r>
    <r>
      <rPr>
        <b/>
        <sz val="11"/>
        <color theme="1"/>
        <rFont val="Roboto Condensed"/>
      </rPr>
      <t xml:space="preserve">: Number of Orphan students enrolled in schools </t>
    </r>
  </si>
  <si>
    <t xml:space="preserve">8.6 Students in correctional centers </t>
  </si>
  <si>
    <t xml:space="preserve">Total number Students </t>
  </si>
  <si>
    <t>Total number Students  fed at schools</t>
  </si>
  <si>
    <t>Percentage of Students  fed at schools</t>
  </si>
  <si>
    <t xml:space="preserve">Total number Schools </t>
  </si>
  <si>
    <t>Total number Schools providing meals</t>
  </si>
  <si>
    <t>Percentage of  Schools providing meals</t>
  </si>
  <si>
    <t>Table 7.2.2: Schools providing meals to students By School status</t>
  </si>
  <si>
    <t>Table 7.1.2: Number of learners fed at schools By school status</t>
  </si>
  <si>
    <r>
      <t>Table 7.2.3</t>
    </r>
    <r>
      <rPr>
        <b/>
        <sz val="11"/>
        <color theme="1"/>
        <rFont val="Roboto Condensed"/>
      </rPr>
      <t>: Nutrition Garden in schools</t>
    </r>
  </si>
  <si>
    <t>Table 7.2.4: Type of fuel used for cooking in schools in 2021/22</t>
  </si>
  <si>
    <t>Table 7.1.2: Number of learners fed at schools By school status </t>
  </si>
  <si>
    <t>Table 7.2.3: Nutrition Garden in schools </t>
  </si>
  <si>
    <t>Table 7.2.4: Type of fuel used for cooking in schools in 2020/21 </t>
  </si>
  <si>
    <t>3.4 School staff by qualification  </t>
  </si>
  <si>
    <t xml:space="preserve">Table 3.4.2: Preprimary, primary, secondary and TVET L1 to L5  teaching  staff by qualification </t>
  </si>
  <si>
    <t>Table 3.4.1: Preprimary, primary, secondary and TVET L1 to L5  total  staff by qualification</t>
  </si>
  <si>
    <t>Table 3.4.4: Number of preprimary teaching staff by qualification </t>
  </si>
  <si>
    <t>Table 3.4.5: Number of primary teaching  staff by qualification</t>
  </si>
  <si>
    <t>Table 3.4.6: Number of gen. and prof. secondary teaching  staff by qualification</t>
  </si>
  <si>
    <t>Table 3.4.7: Number of TVET L1_L5 teaching staff by qualification</t>
  </si>
  <si>
    <t>Table 3.4.8: Number of Higher education staff by qualification</t>
  </si>
  <si>
    <t>Table 3.4.9: Number of Higher education academic staff by qualification</t>
  </si>
  <si>
    <t>Table 3.4.10: Number of Higher education administrative staff by level of education</t>
  </si>
  <si>
    <t>Table 3.4.5: Number of primary staff by qualification </t>
  </si>
  <si>
    <t>Table 3.4.3: Preprimary, primary, secondary and TVET L1 to L5  Adminitrative staff by qualification</t>
  </si>
  <si>
    <t>Table 3.4.6: Number of gen. and prof. secondary staff by qualification </t>
  </si>
  <si>
    <t>Table 3.4.7: Number of TVET L1_L5 staff by qualification </t>
  </si>
  <si>
    <t>Table 3.4.8: Number of Higher education staff by qualification </t>
  </si>
  <si>
    <t>Table 3.4.9: Number of Higher education academic staff by qualification </t>
  </si>
  <si>
    <t>Table 3.4.10: Number of Higher education administrative staff by level of education </t>
  </si>
  <si>
    <t>Table 3.4.1: Preprimary, primary, secondary and TVET L1 to L5  total  staff by qualification </t>
  </si>
  <si>
    <t>Table 3.4.2: Preprimary, primary, secondary and TVET L1 to L5  teaching  staff by qualification</t>
  </si>
  <si>
    <t>Table 3.4.3: Preprimary, primary, secondary and TVET L1 to L5  administrative staff by 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</si>
</sst>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-* #,##0_-;\-* #,##0_-;_-* &quot;-&quot;??_-;_-@_-"/>
  </numFmts>
  <fonts count="92">
    <font>
      <sz val="11"/>
      <color theme="1"/>
      <name val="Calibri"/>
      <family val="2"/>
      <scheme val="minor"/>
    </font>
    <font>
      <b/>
      <sz val="11"/>
      <color rgb="FF000000"/>
      <name val="Roboto Condensed"/>
    </font>
    <font>
      <b/>
      <i/>
      <sz val="10"/>
      <color rgb="FF000000"/>
      <name val="Roboto Condensed"/>
    </font>
    <font>
      <i/>
      <sz val="10"/>
      <color rgb="FF000000"/>
      <name val="Roboto Condensed"/>
    </font>
    <font>
      <u/>
      <sz val="11"/>
      <color theme="10"/>
      <name val="Calibri"/>
      <family val="2"/>
      <scheme val="minor"/>
    </font>
    <font>
      <b/>
      <sz val="12"/>
      <color rgb="FF000000"/>
      <name val="Roboto Condensed"/>
      <charset val="1"/>
    </font>
    <font>
      <b/>
      <sz val="12"/>
      <name val="Roboto Condensed"/>
      <charset val="1"/>
    </font>
    <font>
      <sz val="12"/>
      <name val="Roboto Condensed"/>
      <charset val="1"/>
    </font>
    <font>
      <i/>
      <sz val="10"/>
      <color rgb="FF000000"/>
      <name val="Roboto Condensed"/>
      <charset val="1"/>
    </font>
    <font>
      <sz val="10"/>
      <color rgb="FF000000"/>
      <name val="Roboto Condensed"/>
      <charset val="1"/>
    </font>
    <font>
      <b/>
      <i/>
      <sz val="10"/>
      <color rgb="FF000000"/>
      <name val="Roboto Condensed"/>
      <charset val="1"/>
    </font>
    <font>
      <b/>
      <sz val="12"/>
      <color rgb="FF000000"/>
      <name val="Roboto Condensed"/>
    </font>
    <font>
      <i/>
      <sz val="10"/>
      <name val="Roboto Condensed"/>
      <charset val="1"/>
    </font>
    <font>
      <b/>
      <sz val="12"/>
      <color rgb="FF4472C4"/>
      <name val="Roboto Condensed"/>
      <charset val="1"/>
    </font>
    <font>
      <sz val="10"/>
      <name val="Roboto Condensed"/>
      <charset val="1"/>
    </font>
    <font>
      <b/>
      <i/>
      <sz val="10"/>
      <name val="Roboto Condensed"/>
      <charset val="1"/>
    </font>
    <font>
      <sz val="12"/>
      <color theme="1"/>
      <name val="Roboto Condensed"/>
      <charset val="1"/>
    </font>
    <font>
      <b/>
      <sz val="10"/>
      <name val="Roboto Condensed"/>
      <charset val="1"/>
    </font>
    <font>
      <b/>
      <sz val="11"/>
      <name val="Roboto Condensed"/>
      <charset val="1"/>
    </font>
    <font>
      <sz val="11"/>
      <name val="Roboto Condensed"/>
      <charset val="1"/>
    </font>
    <font>
      <b/>
      <sz val="12"/>
      <color rgb="FF4472C4"/>
      <name val="Calibri"/>
      <family val="2"/>
    </font>
    <font>
      <b/>
      <sz val="11"/>
      <color rgb="FF4472C4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4472C4"/>
      <name val="WordVisi_MSFontService"/>
      <charset val="1"/>
    </font>
    <font>
      <b/>
      <sz val="12"/>
      <color rgb="FF4472C4"/>
      <name val="Roboto Condensed"/>
    </font>
    <font>
      <b/>
      <sz val="12"/>
      <name val="Roboto Condensed"/>
    </font>
    <font>
      <sz val="11"/>
      <color theme="1"/>
      <name val="Calibri"/>
      <family val="2"/>
      <scheme val="minor"/>
    </font>
    <font>
      <i/>
      <sz val="12"/>
      <color theme="1"/>
      <name val="Roboto Condensed"/>
    </font>
    <font>
      <sz val="10"/>
      <color rgb="FF000000"/>
      <name val="Roboto Condensed"/>
    </font>
    <font>
      <b/>
      <sz val="10"/>
      <color rgb="FF000000"/>
      <name val="Roboto Condensed"/>
    </font>
    <font>
      <sz val="12"/>
      <color theme="1"/>
      <name val="Roboto Condensed"/>
    </font>
    <font>
      <sz val="12"/>
      <color rgb="FF000000"/>
      <name val="Roboto Condensed"/>
    </font>
    <font>
      <sz val="10"/>
      <color theme="1"/>
      <name val="Roboto Condensed"/>
    </font>
    <font>
      <i/>
      <sz val="12"/>
      <color rgb="FF000000"/>
      <name val="Roboto Condensed"/>
    </font>
    <font>
      <i/>
      <vertAlign val="superscript"/>
      <sz val="12"/>
      <color rgb="FF000000"/>
      <name val="Roboto Condensed"/>
    </font>
    <font>
      <b/>
      <sz val="12"/>
      <color theme="1"/>
      <name val="Roboto Condensed"/>
    </font>
    <font>
      <sz val="11"/>
      <color rgb="FF000000"/>
      <name val="Roboto Condensed"/>
    </font>
    <font>
      <i/>
      <sz val="11"/>
      <color rgb="FF000000"/>
      <name val="Roboto Condensed"/>
    </font>
    <font>
      <b/>
      <i/>
      <sz val="12"/>
      <color rgb="FF000000"/>
      <name val="Roboto Condensed"/>
    </font>
    <font>
      <b/>
      <i/>
      <sz val="10"/>
      <color theme="1"/>
      <name val="Roboto Condensed"/>
    </font>
    <font>
      <u/>
      <sz val="12"/>
      <color theme="10"/>
      <name val="Roboto Condensed"/>
    </font>
    <font>
      <sz val="11"/>
      <color theme="1"/>
      <name val="Roboto Condensed"/>
    </font>
    <font>
      <i/>
      <sz val="10"/>
      <color theme="1"/>
      <name val="Roboto Condensed"/>
    </font>
    <font>
      <b/>
      <sz val="12"/>
      <color theme="1"/>
      <name val="Arial"/>
      <family val="2"/>
    </font>
    <font>
      <b/>
      <sz val="12"/>
      <color theme="1"/>
      <name val="Times New Roman"/>
      <family val="1"/>
    </font>
    <font>
      <b/>
      <i/>
      <sz val="10"/>
      <name val="Roboto Condensed"/>
    </font>
    <font>
      <i/>
      <sz val="10"/>
      <name val="Roboto Condensed"/>
    </font>
    <font>
      <b/>
      <sz val="12"/>
      <color rgb="FFFF0000"/>
      <name val="Roboto Condensed"/>
    </font>
    <font>
      <b/>
      <sz val="10"/>
      <color theme="1"/>
      <name val="Roboto Condensed"/>
    </font>
    <font>
      <b/>
      <sz val="11"/>
      <color theme="1"/>
      <name val="Roboto Condensed"/>
    </font>
    <font>
      <sz val="5"/>
      <color theme="1"/>
      <name val="Roboto Condensed"/>
    </font>
    <font>
      <sz val="12"/>
      <name val="Roboto Condensed"/>
    </font>
    <font>
      <sz val="10"/>
      <name val="Roboto Condensed"/>
    </font>
    <font>
      <sz val="12"/>
      <color rgb="FF444444"/>
      <name val="Roboto Condensed"/>
    </font>
    <font>
      <b/>
      <sz val="10.5"/>
      <color rgb="FF000000"/>
      <name val="Roboto Condensed"/>
    </font>
    <font>
      <b/>
      <i/>
      <sz val="11"/>
      <name val="Roboto Condensed"/>
    </font>
    <font>
      <i/>
      <sz val="11"/>
      <name val="Roboto Condensed"/>
    </font>
    <font>
      <i/>
      <sz val="11"/>
      <color theme="1"/>
      <name val="Roboto Condensed"/>
    </font>
    <font>
      <sz val="10.5"/>
      <color rgb="FF000000"/>
      <name val="Roboto Condensed"/>
    </font>
    <font>
      <b/>
      <i/>
      <sz val="11"/>
      <color rgb="FF000000"/>
      <name val="Roboto Condensed"/>
    </font>
    <font>
      <i/>
      <sz val="8"/>
      <color theme="1"/>
      <name val="Roboto Condensed"/>
    </font>
    <font>
      <b/>
      <i/>
      <sz val="8"/>
      <color theme="1"/>
      <name val="Roboto Condensed"/>
    </font>
    <font>
      <b/>
      <sz val="12"/>
      <color rgb="FF444444"/>
      <name val="Roboto Condensed"/>
    </font>
    <font>
      <b/>
      <i/>
      <sz val="12"/>
      <color theme="1"/>
      <name val="Roboto Condensed"/>
    </font>
    <font>
      <sz val="11"/>
      <color rgb="FF000000"/>
      <name val="Roboto"/>
      <charset val="1"/>
    </font>
    <font>
      <b/>
      <sz val="11"/>
      <color rgb="FF000000"/>
      <name val="Roboto"/>
      <charset val="1"/>
    </font>
    <font>
      <sz val="12"/>
      <color rgb="FF000000"/>
      <name val="Roboto Condensed"/>
      <charset val="1"/>
    </font>
    <font>
      <i/>
      <sz val="12"/>
      <color rgb="FF000000"/>
      <name val="Roboto Condensed"/>
      <charset val="1"/>
    </font>
    <font>
      <sz val="11"/>
      <color rgb="FF000000"/>
      <name val="Roboto Condensed"/>
      <charset val="1"/>
    </font>
    <font>
      <b/>
      <sz val="11"/>
      <color rgb="FF000000"/>
      <name val="Roboto Condensed"/>
      <charset val="1"/>
    </font>
    <font>
      <sz val="10.5"/>
      <name val="Roboto Condensed"/>
      <charset val="1"/>
    </font>
    <font>
      <b/>
      <sz val="10.5"/>
      <name val="Roboto Condensed"/>
      <charset val="1"/>
    </font>
    <font>
      <sz val="12"/>
      <color rgb="FF000000"/>
      <name val="Roboto"/>
      <charset val="1"/>
    </font>
    <font>
      <b/>
      <sz val="12"/>
      <color rgb="FF000000"/>
      <name val="Roboto"/>
      <charset val="1"/>
    </font>
    <font>
      <b/>
      <i/>
      <sz val="12"/>
      <color rgb="FF000000"/>
      <name val="Roboto"/>
      <charset val="1"/>
    </font>
    <font>
      <i/>
      <sz val="12"/>
      <color rgb="FF000000"/>
      <name val="Roboto"/>
      <charset val="1"/>
    </font>
    <font>
      <b/>
      <sz val="10"/>
      <color rgb="FF000000"/>
      <name val="Roboto Condensed"/>
      <charset val="1"/>
    </font>
    <font>
      <b/>
      <sz val="11"/>
      <color rgb="FF000000"/>
      <name val="Roboto"/>
    </font>
    <font>
      <sz val="11"/>
      <color rgb="FF000000"/>
      <name val="Roboto"/>
    </font>
    <font>
      <sz val="10.5"/>
      <name val="Calibri"/>
      <family val="2"/>
    </font>
    <font>
      <i/>
      <sz val="11"/>
      <name val="Roboto Condensed"/>
      <charset val="1"/>
    </font>
    <font>
      <b/>
      <i/>
      <sz val="12"/>
      <color rgb="FF000000"/>
      <name val="Roboto Condensed"/>
      <charset val="1"/>
    </font>
    <font>
      <b/>
      <sz val="12"/>
      <color rgb="FF000000"/>
      <name val="Roboto"/>
    </font>
    <font>
      <b/>
      <sz val="12"/>
      <color rgb="FF000000"/>
      <name val="Calibri"/>
      <family val="2"/>
    </font>
    <font>
      <b/>
      <sz val="10.5"/>
      <color rgb="FF000000"/>
      <name val="Roboto"/>
    </font>
    <font>
      <sz val="10.5"/>
      <color rgb="FF000000"/>
      <name val="Roboto"/>
    </font>
    <font>
      <i/>
      <sz val="11"/>
      <color rgb="FF000000"/>
      <name val="Roboto"/>
    </font>
    <font>
      <sz val="11"/>
      <color rgb="FF000000"/>
      <name val="Arial Nova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0.5"/>
      <name val="Roboto Condensed"/>
    </font>
  </fonts>
  <fills count="38">
    <fill>
      <patternFill patternType="none"/>
    </fill>
    <fill>
      <patternFill patternType="gray125"/>
    </fill>
    <fill>
      <patternFill patternType="solid">
        <fgColor rgb="FF8DB3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DB3E2"/>
        <bgColor rgb="FF000000"/>
      </patternFill>
    </fill>
    <fill>
      <patternFill patternType="solid">
        <fgColor rgb="FFDBE5F1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C6D9F1"/>
        <bgColor rgb="FF000000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rgb="FF4472C4"/>
      </top>
      <bottom style="thin">
        <color rgb="FF4472C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</cellStyleXfs>
  <cellXfs count="897">
    <xf numFmtId="0" fontId="0" fillId="0" borderId="0" xfId="0"/>
    <xf numFmtId="0" fontId="10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3" fillId="0" borderId="0" xfId="0" applyFont="1"/>
    <xf numFmtId="0" fontId="5" fillId="0" borderId="0" xfId="0" applyFont="1"/>
    <xf numFmtId="0" fontId="16" fillId="0" borderId="0" xfId="0" applyFont="1" applyAlignment="1">
      <alignment readingOrder="1"/>
    </xf>
    <xf numFmtId="0" fontId="6" fillId="0" borderId="0" xfId="0" applyFont="1"/>
    <xf numFmtId="0" fontId="7" fillId="0" borderId="0" xfId="0" applyFont="1"/>
    <xf numFmtId="0" fontId="10" fillId="0" borderId="0" xfId="0" applyFont="1"/>
    <xf numFmtId="0" fontId="14" fillId="0" borderId="0" xfId="0" applyFont="1"/>
    <xf numFmtId="0" fontId="17" fillId="0" borderId="0" xfId="0" applyFont="1"/>
    <xf numFmtId="0" fontId="15" fillId="0" borderId="0" xfId="0" applyFont="1"/>
    <xf numFmtId="0" fontId="19" fillId="0" borderId="0" xfId="0" applyFont="1"/>
    <xf numFmtId="0" fontId="3" fillId="0" borderId="0" xfId="0" applyFont="1"/>
    <xf numFmtId="0" fontId="5" fillId="0" borderId="0" xfId="0" applyFont="1" applyAlignment="1">
      <alignment readingOrder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11" fillId="0" borderId="0" xfId="0" applyFont="1" applyAlignment="1">
      <alignment readingOrder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/>
    <xf numFmtId="0" fontId="23" fillId="0" borderId="0" xfId="0" applyFont="1"/>
    <xf numFmtId="0" fontId="4" fillId="0" borderId="0" xfId="1"/>
    <xf numFmtId="0" fontId="14" fillId="0" borderId="0" xfId="0" applyFont="1" applyAlignment="1">
      <alignment wrapText="1"/>
    </xf>
    <xf numFmtId="0" fontId="11" fillId="0" borderId="0" xfId="0" applyFont="1"/>
    <xf numFmtId="0" fontId="24" fillId="0" borderId="0" xfId="0" applyFont="1"/>
    <xf numFmtId="0" fontId="25" fillId="0" borderId="0" xfId="0" applyFont="1"/>
    <xf numFmtId="0" fontId="30" fillId="0" borderId="0" xfId="0" applyFont="1"/>
    <xf numFmtId="0" fontId="32" fillId="0" borderId="0" xfId="0" applyFont="1"/>
    <xf numFmtId="0" fontId="11" fillId="4" borderId="2" xfId="0" applyFont="1" applyFill="1" applyBorder="1" applyAlignment="1">
      <alignment horizontal="justify" vertical="center"/>
    </xf>
    <xf numFmtId="3" fontId="11" fillId="4" borderId="2" xfId="0" applyNumberFormat="1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3" fontId="11" fillId="8" borderId="2" xfId="0" applyNumberFormat="1" applyFont="1" applyFill="1" applyBorder="1" applyAlignment="1">
      <alignment horizontal="center" vertical="center" wrapText="1"/>
    </xf>
    <xf numFmtId="3" fontId="31" fillId="0" borderId="2" xfId="0" applyNumberFormat="1" applyFont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3" fontId="11" fillId="8" borderId="2" xfId="0" applyNumberFormat="1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 wrapText="1"/>
    </xf>
    <xf numFmtId="3" fontId="31" fillId="0" borderId="2" xfId="0" applyNumberFormat="1" applyFont="1" applyBorder="1" applyAlignment="1">
      <alignment horizontal="left" vertical="center" wrapText="1" indent="1"/>
    </xf>
    <xf numFmtId="0" fontId="31" fillId="0" borderId="2" xfId="0" applyFont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justify" vertical="center" wrapText="1"/>
    </xf>
    <xf numFmtId="3" fontId="1" fillId="4" borderId="2" xfId="0" applyNumberFormat="1" applyFont="1" applyFill="1" applyBorder="1" applyAlignment="1">
      <alignment horizontal="center" vertical="center" wrapText="1"/>
    </xf>
    <xf numFmtId="3" fontId="36" fillId="0" borderId="2" xfId="0" applyNumberFormat="1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justify" vertical="center" wrapText="1"/>
    </xf>
    <xf numFmtId="0" fontId="35" fillId="0" borderId="0" xfId="0" applyFont="1" applyAlignment="1">
      <alignment horizontal="justify" vertical="center"/>
    </xf>
    <xf numFmtId="0" fontId="35" fillId="0" borderId="0" xfId="0" applyFont="1" applyAlignment="1">
      <alignment horizontal="left" vertical="center"/>
    </xf>
    <xf numFmtId="0" fontId="39" fillId="0" borderId="0" xfId="0" applyFont="1" applyAlignment="1">
      <alignment horizontal="justify" vertical="center"/>
    </xf>
    <xf numFmtId="2" fontId="24" fillId="0" borderId="0" xfId="0" applyNumberFormat="1" applyFont="1"/>
    <xf numFmtId="2" fontId="30" fillId="0" borderId="0" xfId="0" applyNumberFormat="1" applyFont="1"/>
    <xf numFmtId="2" fontId="11" fillId="0" borderId="0" xfId="0" applyNumberFormat="1" applyFont="1" applyAlignment="1">
      <alignment horizontal="left" vertical="center"/>
    </xf>
    <xf numFmtId="2" fontId="11" fillId="2" borderId="2" xfId="0" applyNumberFormat="1" applyFont="1" applyFill="1" applyBorder="1" applyAlignment="1">
      <alignment horizontal="left" vertical="center" wrapText="1"/>
    </xf>
    <xf numFmtId="2" fontId="31" fillId="0" borderId="2" xfId="0" applyNumberFormat="1" applyFont="1" applyBorder="1" applyAlignment="1">
      <alignment horizontal="left" vertical="center" wrapText="1"/>
    </xf>
    <xf numFmtId="2" fontId="40" fillId="0" borderId="0" xfId="1" applyNumberFormat="1" applyFont="1"/>
    <xf numFmtId="2" fontId="35" fillId="0" borderId="0" xfId="0" applyNumberFormat="1" applyFont="1"/>
    <xf numFmtId="2" fontId="31" fillId="0" borderId="0" xfId="0" applyNumberFormat="1" applyFont="1" applyAlignment="1">
      <alignment horizontal="left" vertical="center"/>
    </xf>
    <xf numFmtId="2" fontId="25" fillId="0" borderId="0" xfId="0" applyNumberFormat="1" applyFont="1" applyAlignment="1">
      <alignment wrapText="1"/>
    </xf>
    <xf numFmtId="2" fontId="38" fillId="0" borderId="0" xfId="0" applyNumberFormat="1" applyFont="1" applyAlignment="1">
      <alignment wrapText="1"/>
    </xf>
    <xf numFmtId="2" fontId="25" fillId="0" borderId="0" xfId="0" applyNumberFormat="1" applyFont="1"/>
    <xf numFmtId="0" fontId="11" fillId="2" borderId="2" xfId="0" applyFont="1" applyFill="1" applyBorder="1" applyAlignment="1">
      <alignment horizontal="justify" vertical="center"/>
    </xf>
    <xf numFmtId="0" fontId="11" fillId="2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justify" vertical="center"/>
    </xf>
    <xf numFmtId="3" fontId="31" fillId="0" borderId="2" xfId="0" applyNumberFormat="1" applyFont="1" applyBorder="1" applyAlignment="1">
      <alignment horizontal="center" vertical="center"/>
    </xf>
    <xf numFmtId="0" fontId="38" fillId="5" borderId="2" xfId="0" applyFont="1" applyFill="1" applyBorder="1" applyAlignment="1">
      <alignment horizontal="justify" vertical="center"/>
    </xf>
    <xf numFmtId="9" fontId="38" fillId="5" borderId="2" xfId="0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justify" vertical="center"/>
    </xf>
    <xf numFmtId="0" fontId="11" fillId="5" borderId="2" xfId="0" applyFont="1" applyFill="1" applyBorder="1" applyAlignment="1">
      <alignment horizontal="justify" vertical="center"/>
    </xf>
    <xf numFmtId="0" fontId="11" fillId="5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justify" vertical="center"/>
    </xf>
    <xf numFmtId="0" fontId="11" fillId="8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justify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justify" vertical="center" wrapText="1"/>
    </xf>
    <xf numFmtId="0" fontId="11" fillId="2" borderId="2" xfId="0" applyFont="1" applyFill="1" applyBorder="1" applyAlignment="1">
      <alignment vertical="center" wrapText="1"/>
    </xf>
    <xf numFmtId="0" fontId="11" fillId="5" borderId="2" xfId="0" applyFont="1" applyFill="1" applyBorder="1" applyAlignment="1">
      <alignment vertical="center" wrapText="1"/>
    </xf>
    <xf numFmtId="3" fontId="11" fillId="5" borderId="2" xfId="0" applyNumberFormat="1" applyFont="1" applyFill="1" applyBorder="1" applyAlignment="1">
      <alignment horizontal="center" vertical="center" wrapText="1"/>
    </xf>
    <xf numFmtId="0" fontId="31" fillId="0" borderId="2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1" fillId="0" borderId="0" xfId="0" applyFont="1"/>
    <xf numFmtId="0" fontId="11" fillId="2" borderId="1" xfId="0" applyFont="1" applyFill="1" applyBorder="1" applyAlignment="1">
      <alignment horizontal="left"/>
    </xf>
    <xf numFmtId="0" fontId="11" fillId="2" borderId="8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30" fillId="0" borderId="0" xfId="0" applyFont="1" applyAlignment="1">
      <alignment horizontal="justify" vertical="center"/>
    </xf>
    <xf numFmtId="0" fontId="32" fillId="0" borderId="0" xfId="0" applyFont="1" applyAlignment="1">
      <alignment horizontal="justify" vertical="center"/>
    </xf>
    <xf numFmtId="0" fontId="3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6" fillId="0" borderId="2" xfId="0" applyFont="1" applyBorder="1" applyAlignment="1">
      <alignment horizontal="justify" vertical="center"/>
    </xf>
    <xf numFmtId="3" fontId="36" fillId="0" borderId="2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0" fillId="0" borderId="0" xfId="0" applyFont="1" applyAlignment="1">
      <alignment horizontal="left"/>
    </xf>
    <xf numFmtId="0" fontId="30" fillId="0" borderId="0" xfId="0" applyFont="1" applyAlignment="1">
      <alignment horizontal="right"/>
    </xf>
    <xf numFmtId="0" fontId="11" fillId="2" borderId="2" xfId="0" applyFont="1" applyFill="1" applyBorder="1" applyAlignment="1">
      <alignment horizontal="justify" vertical="center" wrapText="1"/>
    </xf>
    <xf numFmtId="0" fontId="11" fillId="4" borderId="2" xfId="0" applyFont="1" applyFill="1" applyBorder="1" applyAlignment="1">
      <alignment horizontal="justify" vertical="center" wrapText="1"/>
    </xf>
    <xf numFmtId="3" fontId="11" fillId="4" borderId="2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/>
    </xf>
    <xf numFmtId="165" fontId="33" fillId="0" borderId="2" xfId="0" applyNumberFormat="1" applyFont="1" applyBorder="1" applyAlignment="1">
      <alignment horizontal="center" vertical="center"/>
    </xf>
    <xf numFmtId="0" fontId="38" fillId="0" borderId="0" xfId="0" applyFont="1" applyAlignment="1">
      <alignment horizontal="justify" vertical="center"/>
    </xf>
    <xf numFmtId="0" fontId="43" fillId="0" borderId="0" xfId="0" applyFont="1" applyAlignment="1">
      <alignment horizontal="justify" vertical="center"/>
    </xf>
    <xf numFmtId="2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wrapText="1"/>
    </xf>
    <xf numFmtId="0" fontId="11" fillId="4" borderId="2" xfId="0" applyFont="1" applyFill="1" applyBorder="1" applyAlignment="1">
      <alignment vertical="center" wrapText="1"/>
    </xf>
    <xf numFmtId="0" fontId="31" fillId="0" borderId="2" xfId="0" applyFont="1" applyBorder="1" applyAlignment="1">
      <alignment vertical="center"/>
    </xf>
    <xf numFmtId="0" fontId="33" fillId="0" borderId="2" xfId="0" applyFont="1" applyBorder="1" applyAlignment="1">
      <alignment vertical="center"/>
    </xf>
    <xf numFmtId="0" fontId="11" fillId="4" borderId="2" xfId="0" applyFont="1" applyFill="1" applyBorder="1" applyAlignment="1">
      <alignment horizontal="center" vertical="center" wrapText="1"/>
    </xf>
    <xf numFmtId="9" fontId="11" fillId="4" borderId="2" xfId="0" applyNumberFormat="1" applyFont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justify" vertical="center" wrapText="1"/>
    </xf>
    <xf numFmtId="165" fontId="33" fillId="0" borderId="2" xfId="0" applyNumberFormat="1" applyFont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justify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justify" vertical="center" wrapText="1"/>
    </xf>
    <xf numFmtId="0" fontId="33" fillId="3" borderId="2" xfId="0" applyFont="1" applyFill="1" applyBorder="1" applyAlignment="1">
      <alignment horizontal="justify" vertical="center" wrapText="1"/>
    </xf>
    <xf numFmtId="0" fontId="11" fillId="9" borderId="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9" fontId="11" fillId="4" borderId="2" xfId="0" applyNumberFormat="1" applyFont="1" applyFill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justify" vertical="center"/>
    </xf>
    <xf numFmtId="0" fontId="31" fillId="3" borderId="2" xfId="0" applyFont="1" applyFill="1" applyBorder="1" applyAlignment="1">
      <alignment horizontal="justify" vertical="center"/>
    </xf>
    <xf numFmtId="0" fontId="38" fillId="4" borderId="2" xfId="0" applyFont="1" applyFill="1" applyBorder="1" applyAlignment="1">
      <alignment horizontal="justify" vertical="center"/>
    </xf>
    <xf numFmtId="9" fontId="38" fillId="4" borderId="2" xfId="0" applyNumberFormat="1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justify" vertical="center"/>
    </xf>
    <xf numFmtId="165" fontId="33" fillId="0" borderId="2" xfId="0" applyNumberFormat="1" applyFont="1" applyBorder="1" applyAlignment="1">
      <alignment horizontal="left" vertical="center" indent="2"/>
    </xf>
    <xf numFmtId="0" fontId="11" fillId="11" borderId="2" xfId="0" applyFont="1" applyFill="1" applyBorder="1" applyAlignment="1">
      <alignment vertical="center" wrapText="1"/>
    </xf>
    <xf numFmtId="0" fontId="11" fillId="11" borderId="2" xfId="0" applyFont="1" applyFill="1" applyBorder="1" applyAlignment="1">
      <alignment horizontal="center" vertical="center"/>
    </xf>
    <xf numFmtId="3" fontId="30" fillId="0" borderId="2" xfId="0" applyNumberFormat="1" applyFont="1" applyBorder="1" applyAlignment="1">
      <alignment horizontal="center" vertical="center" wrapText="1"/>
    </xf>
    <xf numFmtId="0" fontId="11" fillId="4" borderId="2" xfId="0" applyFont="1" applyFill="1" applyBorder="1" applyAlignment="1">
      <alignment vertical="center"/>
    </xf>
    <xf numFmtId="0" fontId="11" fillId="11" borderId="2" xfId="0" applyFont="1" applyFill="1" applyBorder="1" applyAlignment="1">
      <alignment horizontal="justify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45" fillId="0" borderId="0" xfId="0" applyFont="1"/>
    <xf numFmtId="3" fontId="31" fillId="3" borderId="2" xfId="0" applyNumberFormat="1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justify" vertical="center" wrapText="1"/>
    </xf>
    <xf numFmtId="3" fontId="11" fillId="14" borderId="2" xfId="0" applyNumberFormat="1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horizontal="right" vertical="center"/>
    </xf>
    <xf numFmtId="3" fontId="11" fillId="4" borderId="2" xfId="0" applyNumberFormat="1" applyFont="1" applyFill="1" applyBorder="1" applyAlignment="1">
      <alignment horizontal="right" vertical="center"/>
    </xf>
    <xf numFmtId="3" fontId="31" fillId="0" borderId="2" xfId="0" applyNumberFormat="1" applyFont="1" applyBorder="1" applyAlignment="1">
      <alignment horizontal="right" vertical="center"/>
    </xf>
    <xf numFmtId="0" fontId="11" fillId="4" borderId="2" xfId="0" applyFont="1" applyFill="1" applyBorder="1" applyAlignment="1">
      <alignment horizontal="right" vertical="center"/>
    </xf>
    <xf numFmtId="0" fontId="31" fillId="0" borderId="2" xfId="0" applyFont="1" applyBorder="1" applyAlignment="1">
      <alignment horizontal="right" vertical="center"/>
    </xf>
    <xf numFmtId="3" fontId="30" fillId="0" borderId="2" xfId="0" applyNumberFormat="1" applyFont="1" applyBorder="1" applyAlignment="1">
      <alignment horizontal="center" vertical="center"/>
    </xf>
    <xf numFmtId="0" fontId="11" fillId="20" borderId="2" xfId="0" applyFont="1" applyFill="1" applyBorder="1" applyAlignment="1">
      <alignment horizontal="justify" vertical="center" wrapText="1"/>
    </xf>
    <xf numFmtId="0" fontId="11" fillId="20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vertical="center"/>
    </xf>
    <xf numFmtId="3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left" vertical="center" indent="1"/>
    </xf>
    <xf numFmtId="165" fontId="38" fillId="12" borderId="2" xfId="0" applyNumberFormat="1" applyFont="1" applyFill="1" applyBorder="1" applyAlignment="1">
      <alignment horizontal="center" vertical="center"/>
    </xf>
    <xf numFmtId="165" fontId="33" fillId="0" borderId="2" xfId="3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10" borderId="2" xfId="0" applyFont="1" applyFill="1" applyBorder="1" applyAlignment="1">
      <alignment horizontal="justify" vertical="center" wrapText="1"/>
    </xf>
    <xf numFmtId="3" fontId="11" fillId="10" borderId="2" xfId="0" applyNumberFormat="1" applyFont="1" applyFill="1" applyBorder="1" applyAlignment="1">
      <alignment horizontal="center" vertical="center" wrapText="1"/>
    </xf>
    <xf numFmtId="0" fontId="48" fillId="0" borderId="0" xfId="0" applyFont="1" applyAlignment="1">
      <alignment horizontal="justify" vertical="center"/>
    </xf>
    <xf numFmtId="0" fontId="39" fillId="0" borderId="0" xfId="0" applyFont="1"/>
    <xf numFmtId="165" fontId="33" fillId="0" borderId="2" xfId="3" applyNumberFormat="1" applyFont="1" applyBorder="1" applyAlignment="1">
      <alignment horizontal="center" vertical="center" wrapText="1"/>
    </xf>
    <xf numFmtId="0" fontId="50" fillId="0" borderId="0" xfId="0" applyFont="1" applyAlignment="1">
      <alignment horizontal="justify" vertical="center"/>
    </xf>
    <xf numFmtId="0" fontId="1" fillId="2" borderId="2" xfId="0" applyFont="1" applyFill="1" applyBorder="1" applyAlignment="1">
      <alignment horizontal="justify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justify" vertical="center"/>
    </xf>
    <xf numFmtId="3" fontId="1" fillId="4" borderId="2" xfId="0" applyNumberFormat="1" applyFont="1" applyFill="1" applyBorder="1" applyAlignment="1">
      <alignment horizontal="center" vertical="center"/>
    </xf>
    <xf numFmtId="3" fontId="41" fillId="0" borderId="2" xfId="0" applyNumberFormat="1" applyFont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/>
    </xf>
    <xf numFmtId="3" fontId="41" fillId="0" borderId="2" xfId="0" applyNumberFormat="1" applyFont="1" applyBorder="1" applyAlignment="1">
      <alignment horizontal="center" vertical="center"/>
    </xf>
    <xf numFmtId="0" fontId="37" fillId="0" borderId="2" xfId="0" applyFont="1" applyBorder="1" applyAlignment="1">
      <alignment horizontal="justify" vertical="center" wrapText="1"/>
    </xf>
    <xf numFmtId="165" fontId="37" fillId="0" borderId="2" xfId="0" applyNumberFormat="1" applyFont="1" applyBorder="1" applyAlignment="1">
      <alignment horizontal="center" vertical="center" wrapText="1"/>
    </xf>
    <xf numFmtId="165" fontId="31" fillId="0" borderId="2" xfId="0" applyNumberFormat="1" applyFont="1" applyBorder="1" applyAlignment="1">
      <alignment horizontal="center" vertical="center" wrapText="1"/>
    </xf>
    <xf numFmtId="0" fontId="51" fillId="0" borderId="0" xfId="0" applyFont="1"/>
    <xf numFmtId="0" fontId="41" fillId="10" borderId="2" xfId="0" applyFont="1" applyFill="1" applyBorder="1" applyAlignment="1">
      <alignment vertical="center" wrapText="1"/>
    </xf>
    <xf numFmtId="0" fontId="41" fillId="0" borderId="2" xfId="0" applyFont="1" applyBorder="1" applyAlignment="1">
      <alignment vertical="center" wrapText="1"/>
    </xf>
    <xf numFmtId="0" fontId="41" fillId="0" borderId="2" xfId="0" applyFont="1" applyBorder="1" applyAlignment="1">
      <alignment vertical="center"/>
    </xf>
    <xf numFmtId="0" fontId="52" fillId="0" borderId="0" xfId="0" applyFont="1"/>
    <xf numFmtId="0" fontId="1" fillId="0" borderId="0" xfId="0" applyFont="1"/>
    <xf numFmtId="0" fontId="53" fillId="0" borderId="0" xfId="0" applyFont="1"/>
    <xf numFmtId="0" fontId="49" fillId="0" borderId="0" xfId="0" applyFont="1"/>
    <xf numFmtId="0" fontId="29" fillId="0" borderId="0" xfId="0" applyFont="1"/>
    <xf numFmtId="0" fontId="55" fillId="0" borderId="0" xfId="0" applyFont="1"/>
    <xf numFmtId="0" fontId="11" fillId="0" borderId="2" xfId="0" applyFont="1" applyBorder="1" applyAlignment="1">
      <alignment horizontal="justify" vertical="center" wrapText="1"/>
    </xf>
    <xf numFmtId="0" fontId="11" fillId="12" borderId="2" xfId="0" applyFont="1" applyFill="1" applyBorder="1" applyAlignment="1">
      <alignment horizontal="justify" vertical="center" wrapText="1"/>
    </xf>
    <xf numFmtId="3" fontId="11" fillId="12" borderId="2" xfId="0" applyNumberFormat="1" applyFont="1" applyFill="1" applyBorder="1" applyAlignment="1">
      <alignment horizontal="center" vertical="center" wrapText="1"/>
    </xf>
    <xf numFmtId="0" fontId="41" fillId="4" borderId="2" xfId="0" applyFont="1" applyFill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41" fillId="0" borderId="2" xfId="0" applyFont="1" applyBorder="1" applyAlignment="1">
      <alignment horizontal="justify" vertical="center" wrapText="1"/>
    </xf>
    <xf numFmtId="0" fontId="41" fillId="4" borderId="2" xfId="0" applyFont="1" applyFill="1" applyBorder="1" applyAlignment="1">
      <alignment horizontal="justify" vertical="center" wrapText="1"/>
    </xf>
    <xf numFmtId="0" fontId="1" fillId="4" borderId="2" xfId="0" applyFont="1" applyFill="1" applyBorder="1" applyAlignment="1">
      <alignment horizontal="center" vertical="center" wrapText="1"/>
    </xf>
    <xf numFmtId="165" fontId="11" fillId="4" borderId="2" xfId="0" applyNumberFormat="1" applyFont="1" applyFill="1" applyBorder="1" applyAlignment="1">
      <alignment horizontal="center" vertical="center" wrapText="1"/>
    </xf>
    <xf numFmtId="165" fontId="30" fillId="0" borderId="2" xfId="0" applyNumberFormat="1" applyFont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justify" vertical="center" wrapText="1"/>
    </xf>
    <xf numFmtId="3" fontId="11" fillId="13" borderId="2" xfId="0" applyNumberFormat="1" applyFont="1" applyFill="1" applyBorder="1" applyAlignment="1">
      <alignment horizontal="center" vertical="center" wrapText="1"/>
    </xf>
    <xf numFmtId="165" fontId="11" fillId="5" borderId="2" xfId="0" applyNumberFormat="1" applyFont="1" applyFill="1" applyBorder="1" applyAlignment="1">
      <alignment horizontal="center" vertical="center" wrapText="1"/>
    </xf>
    <xf numFmtId="165" fontId="31" fillId="3" borderId="2" xfId="0" applyNumberFormat="1" applyFont="1" applyFill="1" applyBorder="1" applyAlignment="1">
      <alignment horizontal="center" vertical="center" wrapText="1"/>
    </xf>
    <xf numFmtId="165" fontId="11" fillId="14" borderId="2" xfId="0" applyNumberFormat="1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/>
    </xf>
    <xf numFmtId="3" fontId="31" fillId="3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3" fontId="11" fillId="5" borderId="2" xfId="0" applyNumberFormat="1" applyFont="1" applyFill="1" applyBorder="1" applyAlignment="1">
      <alignment horizontal="center" vertical="center"/>
    </xf>
    <xf numFmtId="165" fontId="11" fillId="5" borderId="2" xfId="0" applyNumberFormat="1" applyFont="1" applyFill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/>
    </xf>
    <xf numFmtId="0" fontId="11" fillId="16" borderId="2" xfId="0" applyFont="1" applyFill="1" applyBorder="1" applyAlignment="1">
      <alignment vertical="center"/>
    </xf>
    <xf numFmtId="0" fontId="11" fillId="16" borderId="2" xfId="0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vertical="center"/>
    </xf>
    <xf numFmtId="3" fontId="11" fillId="17" borderId="2" xfId="0" applyNumberFormat="1" applyFont="1" applyFill="1" applyBorder="1" applyAlignment="1">
      <alignment horizontal="center" vertical="center"/>
    </xf>
    <xf numFmtId="0" fontId="38" fillId="17" borderId="2" xfId="0" applyFont="1" applyFill="1" applyBorder="1" applyAlignment="1">
      <alignment vertical="center"/>
    </xf>
    <xf numFmtId="165" fontId="38" fillId="17" borderId="2" xfId="0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horizontal="justify" vertical="center" wrapText="1"/>
    </xf>
    <xf numFmtId="165" fontId="38" fillId="4" borderId="2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31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1" fillId="18" borderId="2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 wrapText="1"/>
    </xf>
    <xf numFmtId="3" fontId="36" fillId="3" borderId="2" xfId="0" applyNumberFormat="1" applyFont="1" applyFill="1" applyBorder="1" applyAlignment="1">
      <alignment horizontal="center" vertical="center" wrapText="1"/>
    </xf>
    <xf numFmtId="0" fontId="36" fillId="3" borderId="2" xfId="0" applyFont="1" applyFill="1" applyBorder="1" applyAlignment="1">
      <alignment horizontal="center" vertical="center" wrapText="1"/>
    </xf>
    <xf numFmtId="0" fontId="54" fillId="2" borderId="2" xfId="0" applyFont="1" applyFill="1" applyBorder="1" applyAlignment="1">
      <alignment horizontal="right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38" fillId="4" borderId="2" xfId="0" applyFont="1" applyFill="1" applyBorder="1" applyAlignment="1">
      <alignment horizontal="justify" vertical="center" wrapText="1"/>
    </xf>
    <xf numFmtId="0" fontId="54" fillId="2" borderId="2" xfId="0" applyFont="1" applyFill="1" applyBorder="1" applyAlignment="1">
      <alignment horizontal="center" vertical="center" wrapText="1"/>
    </xf>
    <xf numFmtId="0" fontId="61" fillId="0" borderId="0" xfId="0" applyFont="1" applyAlignment="1">
      <alignment vertical="center"/>
    </xf>
    <xf numFmtId="165" fontId="38" fillId="4" borderId="2" xfId="0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left" vertical="center" indent="1"/>
    </xf>
    <xf numFmtId="0" fontId="11" fillId="6" borderId="2" xfId="0" applyFont="1" applyFill="1" applyBorder="1" applyAlignment="1">
      <alignment vertical="center"/>
    </xf>
    <xf numFmtId="165" fontId="11" fillId="6" borderId="2" xfId="0" applyNumberFormat="1" applyFont="1" applyFill="1" applyBorder="1" applyAlignment="1">
      <alignment horizontal="center" vertical="center"/>
    </xf>
    <xf numFmtId="165" fontId="31" fillId="3" borderId="2" xfId="0" applyNumberFormat="1" applyFont="1" applyFill="1" applyBorder="1" applyAlignment="1">
      <alignment horizontal="center" vertical="center"/>
    </xf>
    <xf numFmtId="165" fontId="33" fillId="3" borderId="2" xfId="0" applyNumberFormat="1" applyFont="1" applyFill="1" applyBorder="1" applyAlignment="1">
      <alignment horizontal="center" vertical="center"/>
    </xf>
    <xf numFmtId="165" fontId="33" fillId="3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36" fillId="0" borderId="2" xfId="0" applyFont="1" applyBorder="1" applyAlignment="1">
      <alignment vertical="center"/>
    </xf>
    <xf numFmtId="0" fontId="37" fillId="0" borderId="2" xfId="0" applyFont="1" applyBorder="1" applyAlignment="1">
      <alignment vertical="center"/>
    </xf>
    <xf numFmtId="3" fontId="36" fillId="3" borderId="2" xfId="0" applyNumberFormat="1" applyFont="1" applyFill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justify" vertical="center" wrapText="1"/>
    </xf>
    <xf numFmtId="0" fontId="45" fillId="0" borderId="0" xfId="0" applyFont="1" applyAlignment="1">
      <alignment wrapText="1"/>
    </xf>
    <xf numFmtId="3" fontId="31" fillId="4" borderId="2" xfId="0" applyNumberFormat="1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justify" vertical="center"/>
    </xf>
    <xf numFmtId="0" fontId="27" fillId="0" borderId="2" xfId="0" applyFont="1" applyBorder="1" applyAlignment="1">
      <alignment horizontal="justify" vertical="center"/>
    </xf>
    <xf numFmtId="0" fontId="31" fillId="3" borderId="2" xfId="0" applyFont="1" applyFill="1" applyBorder="1" applyAlignment="1">
      <alignment vertical="center"/>
    </xf>
    <xf numFmtId="0" fontId="31" fillId="3" borderId="2" xfId="0" applyFont="1" applyFill="1" applyBorder="1" applyAlignment="1">
      <alignment horizontal="right" vertical="center"/>
    </xf>
    <xf numFmtId="0" fontId="31" fillId="3" borderId="9" xfId="0" applyFont="1" applyFill="1" applyBorder="1" applyAlignment="1">
      <alignment vertical="center"/>
    </xf>
    <xf numFmtId="0" fontId="31" fillId="3" borderId="9" xfId="0" applyFont="1" applyFill="1" applyBorder="1" applyAlignment="1">
      <alignment horizontal="center" vertical="center"/>
    </xf>
    <xf numFmtId="3" fontId="31" fillId="3" borderId="2" xfId="0" applyNumberFormat="1" applyFont="1" applyFill="1" applyBorder="1" applyAlignment="1">
      <alignment horizontal="right" vertical="center"/>
    </xf>
    <xf numFmtId="164" fontId="31" fillId="0" borderId="2" xfId="2" applyNumberFormat="1" applyFont="1" applyBorder="1" applyAlignment="1">
      <alignment horizontal="right" vertical="center"/>
    </xf>
    <xf numFmtId="165" fontId="33" fillId="0" borderId="2" xfId="0" applyNumberFormat="1" applyFont="1" applyBorder="1" applyAlignment="1">
      <alignment horizontal="right" vertical="center"/>
    </xf>
    <xf numFmtId="0" fontId="11" fillId="21" borderId="2" xfId="0" applyFont="1" applyFill="1" applyBorder="1" applyAlignment="1">
      <alignment vertical="center"/>
    </xf>
    <xf numFmtId="0" fontId="11" fillId="21" borderId="2" xfId="0" applyFont="1" applyFill="1" applyBorder="1" applyAlignment="1">
      <alignment horizontal="center" vertical="center" wrapText="1"/>
    </xf>
    <xf numFmtId="3" fontId="11" fillId="21" borderId="2" xfId="0" applyNumberFormat="1" applyFont="1" applyFill="1" applyBorder="1" applyAlignment="1">
      <alignment horizontal="center" vertical="center" wrapText="1"/>
    </xf>
    <xf numFmtId="0" fontId="38" fillId="21" borderId="2" xfId="0" applyFont="1" applyFill="1" applyBorder="1" applyAlignment="1">
      <alignment vertical="center"/>
    </xf>
    <xf numFmtId="165" fontId="38" fillId="21" borderId="2" xfId="0" applyNumberFormat="1" applyFont="1" applyFill="1" applyBorder="1" applyAlignment="1">
      <alignment horizontal="right" vertical="center" wrapText="1"/>
    </xf>
    <xf numFmtId="165" fontId="38" fillId="21" borderId="2" xfId="0" applyNumberFormat="1" applyFont="1" applyFill="1" applyBorder="1" applyAlignment="1">
      <alignment horizontal="center" vertical="center" wrapText="1"/>
    </xf>
    <xf numFmtId="165" fontId="31" fillId="0" borderId="2" xfId="0" applyNumberFormat="1" applyFont="1" applyBorder="1" applyAlignment="1">
      <alignment horizontal="right" vertical="center"/>
    </xf>
    <xf numFmtId="0" fontId="11" fillId="2" borderId="2" xfId="0" applyFont="1" applyFill="1" applyBorder="1" applyAlignment="1">
      <alignment horizontal="right" vertical="center" wrapText="1"/>
    </xf>
    <xf numFmtId="0" fontId="30" fillId="0" borderId="2" xfId="0" applyFont="1" applyBorder="1" applyAlignment="1">
      <alignment vertical="center" wrapText="1"/>
    </xf>
    <xf numFmtId="0" fontId="38" fillId="4" borderId="2" xfId="0" applyFont="1" applyFill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165" fontId="38" fillId="12" borderId="2" xfId="0" applyNumberFormat="1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justify" vertical="center" wrapText="1"/>
    </xf>
    <xf numFmtId="165" fontId="59" fillId="4" borderId="2" xfId="0" applyNumberFormat="1" applyFont="1" applyFill="1" applyBorder="1" applyAlignment="1">
      <alignment horizontal="center" vertical="center" wrapText="1"/>
    </xf>
    <xf numFmtId="165" fontId="57" fillId="0" borderId="2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right" vertical="center"/>
    </xf>
    <xf numFmtId="0" fontId="1" fillId="5" borderId="2" xfId="0" applyFont="1" applyFill="1" applyBorder="1" applyAlignment="1">
      <alignment vertical="center"/>
    </xf>
    <xf numFmtId="3" fontId="1" fillId="5" borderId="2" xfId="0" applyNumberFormat="1" applyFont="1" applyFill="1" applyBorder="1" applyAlignment="1">
      <alignment horizontal="right" vertical="center"/>
    </xf>
    <xf numFmtId="3" fontId="36" fillId="0" borderId="2" xfId="0" applyNumberFormat="1" applyFont="1" applyBorder="1" applyAlignment="1">
      <alignment horizontal="right" vertical="center"/>
    </xf>
    <xf numFmtId="0" fontId="11" fillId="8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/>
    </xf>
    <xf numFmtId="0" fontId="35" fillId="0" borderId="0" xfId="0" applyFont="1"/>
    <xf numFmtId="0" fontId="1" fillId="4" borderId="2" xfId="0" applyFont="1" applyFill="1" applyBorder="1" applyAlignment="1">
      <alignment horizontal="center" vertical="center"/>
    </xf>
    <xf numFmtId="0" fontId="54" fillId="2" borderId="2" xfId="0" applyFont="1" applyFill="1" applyBorder="1" applyAlignment="1">
      <alignment vertical="center" wrapText="1"/>
    </xf>
    <xf numFmtId="0" fontId="54" fillId="4" borderId="2" xfId="0" applyFont="1" applyFill="1" applyBorder="1" applyAlignment="1">
      <alignment vertical="center"/>
    </xf>
    <xf numFmtId="0" fontId="58" fillId="0" borderId="2" xfId="0" applyFont="1" applyBorder="1" applyAlignment="1">
      <alignment vertical="center" wrapText="1"/>
    </xf>
    <xf numFmtId="3" fontId="58" fillId="0" borderId="2" xfId="0" applyNumberFormat="1" applyFont="1" applyBorder="1" applyAlignment="1">
      <alignment horizontal="center" vertical="center" wrapText="1"/>
    </xf>
    <xf numFmtId="0" fontId="54" fillId="4" borderId="2" xfId="0" applyFont="1" applyFill="1" applyBorder="1" applyAlignment="1">
      <alignment horizontal="center" vertical="center"/>
    </xf>
    <xf numFmtId="0" fontId="58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36" fillId="3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9" fillId="0" borderId="0" xfId="0" applyFont="1" applyAlignment="1">
      <alignment vertical="center"/>
    </xf>
    <xf numFmtId="0" fontId="4" fillId="0" borderId="0" xfId="1" applyAlignment="1">
      <alignment vertical="center"/>
    </xf>
    <xf numFmtId="165" fontId="57" fillId="0" borderId="0" xfId="0" applyNumberFormat="1" applyFont="1" applyAlignment="1">
      <alignment horizontal="center" vertical="center" wrapText="1"/>
    </xf>
    <xf numFmtId="165" fontId="11" fillId="4" borderId="2" xfId="0" applyNumberFormat="1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vertical="center"/>
    </xf>
    <xf numFmtId="0" fontId="11" fillId="12" borderId="2" xfId="0" applyFont="1" applyFill="1" applyBorder="1" applyAlignment="1">
      <alignment horizontal="center" vertical="center" wrapText="1"/>
    </xf>
    <xf numFmtId="165" fontId="0" fillId="0" borderId="0" xfId="0" applyNumberFormat="1"/>
    <xf numFmtId="0" fontId="30" fillId="0" borderId="2" xfId="0" applyFont="1" applyBorder="1" applyAlignment="1">
      <alignment horizontal="left" vertical="center" indent="1"/>
    </xf>
    <xf numFmtId="0" fontId="57" fillId="0" borderId="2" xfId="0" applyFont="1" applyBorder="1" applyAlignment="1">
      <alignment horizontal="justify" vertical="center" wrapText="1"/>
    </xf>
    <xf numFmtId="0" fontId="36" fillId="3" borderId="2" xfId="0" applyFont="1" applyFill="1" applyBorder="1" applyAlignment="1">
      <alignment horizontal="justify" vertical="center" wrapText="1"/>
    </xf>
    <xf numFmtId="0" fontId="31" fillId="4" borderId="2" xfId="0" applyFont="1" applyFill="1" applyBorder="1" applyAlignment="1">
      <alignment horizontal="center" vertical="center" wrapText="1"/>
    </xf>
    <xf numFmtId="3" fontId="11" fillId="2" borderId="2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justify" vertical="center" wrapText="1"/>
    </xf>
    <xf numFmtId="3" fontId="11" fillId="2" borderId="7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justify" vertical="center" wrapText="1"/>
    </xf>
    <xf numFmtId="0" fontId="11" fillId="22" borderId="2" xfId="0" applyFont="1" applyFill="1" applyBorder="1" applyAlignment="1">
      <alignment horizontal="justify" vertical="center" wrapText="1"/>
    </xf>
    <xf numFmtId="3" fontId="11" fillId="22" borderId="2" xfId="0" applyNumberFormat="1" applyFont="1" applyFill="1" applyBorder="1" applyAlignment="1">
      <alignment horizontal="center" vertical="center" wrapText="1"/>
    </xf>
    <xf numFmtId="0" fontId="11" fillId="22" borderId="2" xfId="0" applyFont="1" applyFill="1" applyBorder="1" applyAlignment="1">
      <alignment horizontal="center" vertical="center" wrapText="1"/>
    </xf>
    <xf numFmtId="0" fontId="31" fillId="22" borderId="2" xfId="0" applyFont="1" applyFill="1" applyBorder="1" applyAlignment="1">
      <alignment horizontal="justify" vertical="center" wrapText="1"/>
    </xf>
    <xf numFmtId="0" fontId="31" fillId="22" borderId="2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vertical="center" wrapText="1"/>
    </xf>
    <xf numFmtId="3" fontId="11" fillId="15" borderId="2" xfId="0" applyNumberFormat="1" applyFont="1" applyFill="1" applyBorder="1" applyAlignment="1">
      <alignment horizontal="center" vertical="center" wrapText="1"/>
    </xf>
    <xf numFmtId="3" fontId="31" fillId="3" borderId="2" xfId="0" applyNumberFormat="1" applyFont="1" applyFill="1" applyBorder="1" applyAlignment="1">
      <alignment horizontal="right" vertical="center" wrapText="1"/>
    </xf>
    <xf numFmtId="3" fontId="54" fillId="8" borderId="2" xfId="0" applyNumberFormat="1" applyFont="1" applyFill="1" applyBorder="1" applyAlignment="1">
      <alignment horizontal="center" vertical="center" wrapText="1"/>
    </xf>
    <xf numFmtId="0" fontId="58" fillId="3" borderId="2" xfId="0" applyFont="1" applyFill="1" applyBorder="1" applyAlignment="1">
      <alignment horizontal="center" vertical="center" wrapText="1"/>
    </xf>
    <xf numFmtId="0" fontId="54" fillId="8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vertical="center" wrapText="1"/>
    </xf>
    <xf numFmtId="0" fontId="11" fillId="0" borderId="2" xfId="0" applyFont="1" applyBorder="1" applyAlignment="1">
      <alignment horizontal="left" vertical="center" indent="1"/>
    </xf>
    <xf numFmtId="0" fontId="3" fillId="0" borderId="0" xfId="0" applyFont="1" applyAlignment="1">
      <alignment horizontal="justify" vertical="center"/>
    </xf>
    <xf numFmtId="0" fontId="1" fillId="8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horizontal="center" vertical="center" wrapText="1"/>
    </xf>
    <xf numFmtId="3" fontId="1" fillId="8" borderId="2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3" fontId="1" fillId="13" borderId="2" xfId="0" applyNumberFormat="1" applyFont="1" applyFill="1" applyBorder="1" applyAlignment="1">
      <alignment horizontal="center" vertical="center" wrapText="1"/>
    </xf>
    <xf numFmtId="0" fontId="62" fillId="0" borderId="0" xfId="0" applyFont="1"/>
    <xf numFmtId="0" fontId="40" fillId="0" borderId="0" xfId="1" applyFont="1" applyBorder="1"/>
    <xf numFmtId="0" fontId="40" fillId="0" borderId="0" xfId="1" applyFont="1"/>
    <xf numFmtId="165" fontId="37" fillId="0" borderId="2" xfId="0" applyNumberFormat="1" applyFont="1" applyBorder="1" applyAlignment="1">
      <alignment horizontal="center" vertical="center"/>
    </xf>
    <xf numFmtId="2" fontId="31" fillId="0" borderId="2" xfId="0" applyNumberFormat="1" applyFont="1" applyBorder="1" applyAlignment="1">
      <alignment horizontal="center" vertical="center" wrapText="1"/>
    </xf>
    <xf numFmtId="3" fontId="11" fillId="4" borderId="2" xfId="0" applyNumberFormat="1" applyFont="1" applyFill="1" applyBorder="1" applyAlignment="1">
      <alignment horizontal="right" vertical="center" wrapText="1"/>
    </xf>
    <xf numFmtId="165" fontId="30" fillId="0" borderId="2" xfId="0" applyNumberFormat="1" applyFont="1" applyBorder="1" applyAlignment="1">
      <alignment horizontal="right" vertical="center" wrapText="1"/>
    </xf>
    <xf numFmtId="165" fontId="27" fillId="0" borderId="2" xfId="0" applyNumberFormat="1" applyFont="1" applyBorder="1" applyAlignment="1">
      <alignment horizontal="right" vertical="center" wrapText="1"/>
    </xf>
    <xf numFmtId="3" fontId="30" fillId="0" borderId="2" xfId="0" applyNumberFormat="1" applyFont="1" applyBorder="1" applyAlignment="1">
      <alignment horizontal="right" vertical="center" wrapText="1"/>
    </xf>
    <xf numFmtId="0" fontId="30" fillId="0" borderId="2" xfId="0" applyFont="1" applyBorder="1" applyAlignment="1">
      <alignment horizontal="right" vertical="center" wrapText="1"/>
    </xf>
    <xf numFmtId="0" fontId="38" fillId="4" borderId="2" xfId="0" applyFont="1" applyFill="1" applyBorder="1" applyAlignment="1">
      <alignment vertical="center"/>
    </xf>
    <xf numFmtId="0" fontId="27" fillId="0" borderId="2" xfId="0" applyFont="1" applyBorder="1" applyAlignment="1">
      <alignment horizontal="left" vertical="center" indent="1"/>
    </xf>
    <xf numFmtId="0" fontId="11" fillId="2" borderId="10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3" fontId="31" fillId="0" borderId="12" xfId="0" applyNumberFormat="1" applyFont="1" applyBorder="1" applyAlignment="1">
      <alignment horizontal="center" vertical="center" wrapText="1"/>
    </xf>
    <xf numFmtId="3" fontId="11" fillId="4" borderId="7" xfId="0" applyNumberFormat="1" applyFont="1" applyFill="1" applyBorder="1" applyAlignment="1">
      <alignment horizontal="center" vertical="center" wrapText="1"/>
    </xf>
    <xf numFmtId="3" fontId="31" fillId="0" borderId="9" xfId="0" applyNumberFormat="1" applyFont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/>
    </xf>
    <xf numFmtId="0" fontId="11" fillId="2" borderId="7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11" fillId="2" borderId="11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36" fillId="23" borderId="11" xfId="0" applyFont="1" applyFill="1" applyBorder="1" applyAlignment="1">
      <alignment vertical="center"/>
    </xf>
    <xf numFmtId="0" fontId="0" fillId="0" borderId="11" xfId="0" applyBorder="1"/>
    <xf numFmtId="0" fontId="36" fillId="0" borderId="11" xfId="0" applyFont="1" applyBorder="1" applyAlignment="1">
      <alignment vertical="center"/>
    </xf>
    <xf numFmtId="0" fontId="63" fillId="24" borderId="0" xfId="0" applyFont="1" applyFill="1" applyAlignment="1">
      <alignment vertical="center"/>
    </xf>
    <xf numFmtId="0" fontId="30" fillId="24" borderId="0" xfId="0" applyFont="1" applyFill="1" applyAlignment="1">
      <alignment horizontal="right" vertical="center"/>
    </xf>
    <xf numFmtId="0" fontId="30" fillId="24" borderId="0" xfId="0" applyFont="1" applyFill="1" applyAlignment="1">
      <alignment vertical="center"/>
    </xf>
    <xf numFmtId="0" fontId="51" fillId="24" borderId="0" xfId="0" applyFont="1" applyFill="1" applyAlignment="1">
      <alignment vertical="center"/>
    </xf>
    <xf numFmtId="0" fontId="65" fillId="2" borderId="1" xfId="0" applyFont="1" applyFill="1" applyBorder="1" applyAlignment="1">
      <alignment wrapText="1"/>
    </xf>
    <xf numFmtId="0" fontId="65" fillId="2" borderId="18" xfId="0" applyFont="1" applyFill="1" applyBorder="1" applyAlignment="1">
      <alignment wrapText="1"/>
    </xf>
    <xf numFmtId="0" fontId="65" fillId="2" borderId="19" xfId="0" applyFont="1" applyFill="1" applyBorder="1" applyAlignment="1">
      <alignment wrapText="1"/>
    </xf>
    <xf numFmtId="0" fontId="64" fillId="0" borderId="20" xfId="0" applyFont="1" applyBorder="1" applyAlignment="1">
      <alignment wrapText="1"/>
    </xf>
    <xf numFmtId="0" fontId="64" fillId="0" borderId="22" xfId="0" applyFont="1" applyBorder="1" applyAlignment="1">
      <alignment wrapText="1"/>
    </xf>
    <xf numFmtId="0" fontId="64" fillId="3" borderId="17" xfId="0" applyFont="1" applyFill="1" applyBorder="1" applyAlignment="1">
      <alignment horizontal="center" wrapText="1"/>
    </xf>
    <xf numFmtId="0" fontId="64" fillId="3" borderId="25" xfId="0" applyFont="1" applyFill="1" applyBorder="1" applyAlignment="1">
      <alignment horizontal="center" wrapText="1"/>
    </xf>
    <xf numFmtId="0" fontId="64" fillId="3" borderId="26" xfId="0" applyFont="1" applyFill="1" applyBorder="1" applyAlignment="1">
      <alignment horizontal="center" wrapText="1"/>
    </xf>
    <xf numFmtId="0" fontId="71" fillId="2" borderId="2" xfId="0" applyFont="1" applyFill="1" applyBorder="1" applyAlignment="1">
      <alignment wrapText="1"/>
    </xf>
    <xf numFmtId="0" fontId="71" fillId="2" borderId="21" xfId="0" applyFont="1" applyFill="1" applyBorder="1" applyAlignment="1">
      <alignment wrapText="1"/>
    </xf>
    <xf numFmtId="0" fontId="70" fillId="3" borderId="20" xfId="0" applyFont="1" applyFill="1" applyBorder="1" applyAlignment="1">
      <alignment wrapText="1"/>
    </xf>
    <xf numFmtId="0" fontId="71" fillId="4" borderId="22" xfId="0" applyFont="1" applyFill="1" applyBorder="1" applyAlignment="1">
      <alignment wrapText="1"/>
    </xf>
    <xf numFmtId="0" fontId="66" fillId="3" borderId="20" xfId="0" applyFont="1" applyFill="1" applyBorder="1" applyAlignment="1">
      <alignment wrapText="1"/>
    </xf>
    <xf numFmtId="0" fontId="66" fillId="0" borderId="2" xfId="0" applyFont="1" applyBorder="1" applyAlignment="1">
      <alignment wrapText="1"/>
    </xf>
    <xf numFmtId="0" fontId="6" fillId="4" borderId="22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18" xfId="0" applyFont="1" applyFill="1" applyBorder="1" applyAlignment="1">
      <alignment wrapText="1"/>
    </xf>
    <xf numFmtId="0" fontId="5" fillId="2" borderId="19" xfId="0" applyFont="1" applyFill="1" applyBorder="1" applyAlignment="1">
      <alignment wrapText="1"/>
    </xf>
    <xf numFmtId="0" fontId="5" fillId="4" borderId="20" xfId="0" applyFont="1" applyFill="1" applyBorder="1" applyAlignment="1">
      <alignment wrapText="1"/>
    </xf>
    <xf numFmtId="0" fontId="5" fillId="0" borderId="20" xfId="0" applyFont="1" applyBorder="1" applyAlignment="1">
      <alignment wrapText="1"/>
    </xf>
    <xf numFmtId="0" fontId="67" fillId="0" borderId="20" xfId="0" applyFont="1" applyBorder="1" applyAlignment="1">
      <alignment wrapText="1"/>
    </xf>
    <xf numFmtId="0" fontId="5" fillId="14" borderId="20" xfId="0" applyFont="1" applyFill="1" applyBorder="1" applyAlignment="1">
      <alignment wrapText="1"/>
    </xf>
    <xf numFmtId="0" fontId="66" fillId="0" borderId="20" xfId="0" applyFont="1" applyBorder="1" applyAlignment="1">
      <alignment wrapText="1"/>
    </xf>
    <xf numFmtId="0" fontId="66" fillId="0" borderId="22" xfId="0" applyFont="1" applyBorder="1" applyAlignment="1">
      <alignment wrapText="1"/>
    </xf>
    <xf numFmtId="0" fontId="72" fillId="0" borderId="32" xfId="0" applyFont="1" applyBorder="1" applyAlignment="1">
      <alignment wrapText="1"/>
    </xf>
    <xf numFmtId="0" fontId="72" fillId="0" borderId="11" xfId="0" applyFont="1" applyBorder="1" applyAlignment="1">
      <alignment wrapText="1"/>
    </xf>
    <xf numFmtId="0" fontId="72" fillId="0" borderId="34" xfId="0" applyFont="1" applyBorder="1" applyAlignment="1">
      <alignment wrapText="1"/>
    </xf>
    <xf numFmtId="0" fontId="76" fillId="0" borderId="0" xfId="0" applyFont="1"/>
    <xf numFmtId="0" fontId="17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66" fillId="3" borderId="11" xfId="0" applyFont="1" applyFill="1" applyBorder="1" applyAlignment="1">
      <alignment wrapText="1"/>
    </xf>
    <xf numFmtId="0" fontId="5" fillId="2" borderId="11" xfId="0" applyFont="1" applyFill="1" applyBorder="1" applyAlignment="1">
      <alignment wrapText="1"/>
    </xf>
    <xf numFmtId="0" fontId="1" fillId="2" borderId="21" xfId="0" applyFont="1" applyFill="1" applyBorder="1" applyAlignment="1">
      <alignment horizontal="center" vertical="center" wrapText="1"/>
    </xf>
    <xf numFmtId="0" fontId="66" fillId="0" borderId="35" xfId="0" applyFont="1" applyBorder="1" applyAlignment="1">
      <alignment horizontal="center" wrapText="1"/>
    </xf>
    <xf numFmtId="0" fontId="5" fillId="4" borderId="35" xfId="0" applyFont="1" applyFill="1" applyBorder="1" applyAlignment="1">
      <alignment horizontal="center" wrapText="1"/>
    </xf>
    <xf numFmtId="0" fontId="41" fillId="24" borderId="0" xfId="0" applyFont="1" applyFill="1"/>
    <xf numFmtId="0" fontId="5" fillId="24" borderId="0" xfId="0" applyFont="1" applyFill="1" applyAlignment="1">
      <alignment wrapText="1"/>
    </xf>
    <xf numFmtId="0" fontId="66" fillId="24" borderId="0" xfId="0" applyFont="1" applyFill="1" applyAlignment="1">
      <alignment wrapText="1"/>
    </xf>
    <xf numFmtId="0" fontId="32" fillId="24" borderId="0" xfId="0" applyFont="1" applyFill="1"/>
    <xf numFmtId="0" fontId="66" fillId="0" borderId="36" xfId="0" applyFont="1" applyBorder="1" applyAlignment="1">
      <alignment horizontal="center" wrapText="1"/>
    </xf>
    <xf numFmtId="0" fontId="5" fillId="4" borderId="11" xfId="0" applyFont="1" applyFill="1" applyBorder="1" applyAlignment="1">
      <alignment wrapText="1"/>
    </xf>
    <xf numFmtId="0" fontId="66" fillId="0" borderId="11" xfId="0" applyFont="1" applyBorder="1" applyAlignment="1">
      <alignment wrapText="1"/>
    </xf>
    <xf numFmtId="0" fontId="7" fillId="3" borderId="37" xfId="0" applyFont="1" applyFill="1" applyBorder="1" applyAlignment="1">
      <alignment wrapText="1"/>
    </xf>
    <xf numFmtId="0" fontId="7" fillId="3" borderId="40" xfId="0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0" fontId="35" fillId="24" borderId="0" xfId="0" applyFont="1" applyFill="1" applyAlignment="1">
      <alignment horizontal="left" vertical="center"/>
    </xf>
    <xf numFmtId="0" fontId="11" fillId="18" borderId="12" xfId="0" applyFont="1" applyFill="1" applyBorder="1" applyAlignment="1">
      <alignment horizontal="center" vertical="center" wrapText="1"/>
    </xf>
    <xf numFmtId="3" fontId="11" fillId="4" borderId="12" xfId="0" applyNumberFormat="1" applyFont="1" applyFill="1" applyBorder="1" applyAlignment="1">
      <alignment horizontal="center" vertical="center" wrapText="1"/>
    </xf>
    <xf numFmtId="0" fontId="11" fillId="24" borderId="0" xfId="0" applyFont="1" applyFill="1" applyAlignment="1">
      <alignment vertical="center" wrapText="1"/>
    </xf>
    <xf numFmtId="0" fontId="11" fillId="24" borderId="0" xfId="0" applyFont="1" applyFill="1" applyAlignment="1">
      <alignment horizontal="center" vertical="center" wrapText="1"/>
    </xf>
    <xf numFmtId="0" fontId="31" fillId="24" borderId="0" xfId="0" applyFont="1" applyFill="1" applyAlignment="1">
      <alignment horizontal="center" vertical="center" wrapText="1"/>
    </xf>
    <xf numFmtId="3" fontId="31" fillId="24" borderId="0" xfId="0" applyNumberFormat="1" applyFont="1" applyFill="1" applyAlignment="1">
      <alignment horizontal="center" vertical="center" wrapText="1"/>
    </xf>
    <xf numFmtId="3" fontId="11" fillId="24" borderId="0" xfId="0" applyNumberFormat="1" applyFont="1" applyFill="1" applyAlignment="1">
      <alignment horizontal="center" vertical="center" wrapText="1"/>
    </xf>
    <xf numFmtId="0" fontId="11" fillId="18" borderId="11" xfId="0" applyFont="1" applyFill="1" applyBorder="1" applyAlignment="1">
      <alignment horizontal="center" vertical="center" wrapText="1"/>
    </xf>
    <xf numFmtId="0" fontId="31" fillId="3" borderId="12" xfId="0" applyFont="1" applyFill="1" applyBorder="1" applyAlignment="1">
      <alignment horizontal="center" vertical="center" wrapText="1"/>
    </xf>
    <xf numFmtId="3" fontId="31" fillId="3" borderId="12" xfId="0" applyNumberFormat="1" applyFont="1" applyFill="1" applyBorder="1" applyAlignment="1">
      <alignment horizontal="center" vertical="center" wrapText="1"/>
    </xf>
    <xf numFmtId="164" fontId="11" fillId="2" borderId="2" xfId="0" applyNumberFormat="1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vertical="center"/>
    </xf>
    <xf numFmtId="0" fontId="31" fillId="3" borderId="2" xfId="0" applyFont="1" applyFill="1" applyBorder="1" applyAlignment="1">
      <alignment horizontal="left" vertical="top" wrapText="1"/>
    </xf>
    <xf numFmtId="164" fontId="30" fillId="0" borderId="2" xfId="0" applyNumberFormat="1" applyFont="1" applyBorder="1" applyAlignment="1">
      <alignment horizontal="right" vertical="center" wrapText="1"/>
    </xf>
    <xf numFmtId="164" fontId="30" fillId="0" borderId="2" xfId="0" applyNumberFormat="1" applyFont="1" applyBorder="1" applyAlignment="1">
      <alignment vertical="center" wrapText="1"/>
    </xf>
    <xf numFmtId="0" fontId="11" fillId="8" borderId="2" xfId="0" applyFont="1" applyFill="1" applyBorder="1" applyAlignment="1">
      <alignment horizontal="left" vertical="top" wrapText="1"/>
    </xf>
    <xf numFmtId="164" fontId="11" fillId="8" borderId="2" xfId="0" applyNumberFormat="1" applyFont="1" applyFill="1" applyBorder="1" applyAlignment="1">
      <alignment horizontal="right" vertical="center" wrapText="1"/>
    </xf>
    <xf numFmtId="164" fontId="11" fillId="8" borderId="2" xfId="0" applyNumberFormat="1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left" vertical="top" wrapText="1"/>
    </xf>
    <xf numFmtId="164" fontId="11" fillId="2" borderId="2" xfId="0" applyNumberFormat="1" applyFont="1" applyFill="1" applyBorder="1" applyAlignment="1">
      <alignment horizontal="right" vertical="center" wrapText="1"/>
    </xf>
    <xf numFmtId="164" fontId="11" fillId="2" borderId="2" xfId="0" applyNumberFormat="1" applyFont="1" applyFill="1" applyBorder="1" applyAlignment="1">
      <alignment vertical="center" wrapText="1"/>
    </xf>
    <xf numFmtId="0" fontId="30" fillId="0" borderId="0" xfId="0" applyFont="1" applyAlignment="1">
      <alignment horizontal="justify" vertical="center" wrapText="1"/>
    </xf>
    <xf numFmtId="0" fontId="30" fillId="0" borderId="0" xfId="0" applyFont="1" applyAlignment="1">
      <alignment horizontal="center" vertical="center" wrapText="1"/>
    </xf>
    <xf numFmtId="0" fontId="77" fillId="2" borderId="2" xfId="0" applyFont="1" applyFill="1" applyBorder="1" applyAlignment="1">
      <alignment horizontal="left" vertical="top" wrapText="1"/>
    </xf>
    <xf numFmtId="0" fontId="77" fillId="2" borderId="2" xfId="0" applyFont="1" applyFill="1" applyBorder="1" applyAlignment="1">
      <alignment horizontal="right" vertical="top" wrapText="1"/>
    </xf>
    <xf numFmtId="0" fontId="77" fillId="2" borderId="2" xfId="0" applyFont="1" applyFill="1" applyBorder="1" applyAlignment="1">
      <alignment horizontal="right" vertical="top"/>
    </xf>
    <xf numFmtId="0" fontId="77" fillId="4" borderId="2" xfId="0" applyFont="1" applyFill="1" applyBorder="1" applyAlignment="1">
      <alignment horizontal="left" vertical="top" wrapText="1"/>
    </xf>
    <xf numFmtId="164" fontId="77" fillId="4" borderId="2" xfId="2" applyNumberFormat="1" applyFont="1" applyFill="1" applyBorder="1" applyAlignment="1">
      <alignment horizontal="right" vertical="top" wrapText="1"/>
    </xf>
    <xf numFmtId="0" fontId="77" fillId="26" borderId="2" xfId="0" applyFont="1" applyFill="1" applyBorder="1" applyAlignment="1">
      <alignment horizontal="left" vertical="top"/>
    </xf>
    <xf numFmtId="164" fontId="77" fillId="26" borderId="2" xfId="2" applyNumberFormat="1" applyFont="1" applyFill="1" applyBorder="1" applyAlignment="1">
      <alignment horizontal="right" vertical="top" wrapText="1"/>
    </xf>
    <xf numFmtId="0" fontId="78" fillId="0" borderId="2" xfId="0" applyFont="1" applyBorder="1" applyAlignment="1">
      <alignment horizontal="left" vertical="top" wrapText="1" indent="1"/>
    </xf>
    <xf numFmtId="164" fontId="78" fillId="0" borderId="2" xfId="2" applyNumberFormat="1" applyFont="1" applyBorder="1" applyAlignment="1">
      <alignment horizontal="right" vertical="top" wrapText="1"/>
    </xf>
    <xf numFmtId="0" fontId="77" fillId="2" borderId="12" xfId="0" applyFont="1" applyFill="1" applyBorder="1" applyAlignment="1">
      <alignment horizontal="left" vertical="top" wrapText="1"/>
    </xf>
    <xf numFmtId="0" fontId="77" fillId="2" borderId="11" xfId="0" applyFont="1" applyFill="1" applyBorder="1" applyAlignment="1">
      <alignment horizontal="right" vertical="top"/>
    </xf>
    <xf numFmtId="0" fontId="77" fillId="4" borderId="12" xfId="0" applyFont="1" applyFill="1" applyBorder="1" applyAlignment="1">
      <alignment horizontal="left" vertical="top" wrapText="1"/>
    </xf>
    <xf numFmtId="164" fontId="77" fillId="4" borderId="11" xfId="2" applyNumberFormat="1" applyFont="1" applyFill="1" applyBorder="1" applyAlignment="1">
      <alignment horizontal="right" vertical="top" wrapText="1"/>
    </xf>
    <xf numFmtId="0" fontId="77" fillId="26" borderId="12" xfId="0" applyFont="1" applyFill="1" applyBorder="1" applyAlignment="1">
      <alignment horizontal="left" vertical="top"/>
    </xf>
    <xf numFmtId="164" fontId="77" fillId="26" borderId="11" xfId="2" applyNumberFormat="1" applyFont="1" applyFill="1" applyBorder="1" applyAlignment="1">
      <alignment horizontal="right" vertical="top" wrapText="1"/>
    </xf>
    <xf numFmtId="0" fontId="78" fillId="0" borderId="12" xfId="0" applyFont="1" applyBorder="1" applyAlignment="1">
      <alignment horizontal="left" vertical="top" wrapText="1" indent="1"/>
    </xf>
    <xf numFmtId="164" fontId="78" fillId="0" borderId="11" xfId="2" applyNumberFormat="1" applyFont="1" applyBorder="1" applyAlignment="1">
      <alignment horizontal="right" vertical="top" wrapText="1"/>
    </xf>
    <xf numFmtId="0" fontId="77" fillId="2" borderId="0" xfId="0" applyFont="1" applyFill="1" applyAlignment="1">
      <alignment horizontal="right" vertical="top"/>
    </xf>
    <xf numFmtId="165" fontId="33" fillId="0" borderId="0" xfId="0" applyNumberFormat="1" applyFont="1" applyAlignment="1">
      <alignment horizontal="right" vertical="center"/>
    </xf>
    <xf numFmtId="0" fontId="5" fillId="2" borderId="27" xfId="0" applyFont="1" applyFill="1" applyBorder="1" applyAlignment="1">
      <alignment wrapText="1"/>
    </xf>
    <xf numFmtId="0" fontId="5" fillId="2" borderId="41" xfId="0" applyFont="1" applyFill="1" applyBorder="1" applyAlignment="1">
      <alignment wrapText="1"/>
    </xf>
    <xf numFmtId="0" fontId="66" fillId="3" borderId="42" xfId="0" applyFont="1" applyFill="1" applyBorder="1" applyAlignment="1">
      <alignment wrapText="1"/>
    </xf>
    <xf numFmtId="0" fontId="67" fillId="3" borderId="11" xfId="0" applyFont="1" applyFill="1" applyBorder="1" applyAlignment="1">
      <alignment wrapText="1"/>
    </xf>
    <xf numFmtId="0" fontId="67" fillId="3" borderId="20" xfId="0" applyFont="1" applyFill="1" applyBorder="1" applyAlignment="1">
      <alignment wrapText="1"/>
    </xf>
    <xf numFmtId="0" fontId="67" fillId="3" borderId="22" xfId="0" applyFont="1" applyFill="1" applyBorder="1" applyAlignment="1">
      <alignment wrapText="1"/>
    </xf>
    <xf numFmtId="0" fontId="5" fillId="4" borderId="2" xfId="0" applyFont="1" applyFill="1" applyBorder="1" applyAlignment="1">
      <alignment horizontal="center" wrapText="1"/>
    </xf>
    <xf numFmtId="0" fontId="66" fillId="0" borderId="2" xfId="0" applyFont="1" applyBorder="1" applyAlignment="1">
      <alignment horizontal="center" wrapText="1"/>
    </xf>
    <xf numFmtId="9" fontId="38" fillId="5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25" fillId="0" borderId="0" xfId="0" applyFont="1" applyAlignment="1">
      <alignment horizontal="left"/>
    </xf>
    <xf numFmtId="0" fontId="30" fillId="0" borderId="0" xfId="0" applyFont="1" applyAlignment="1">
      <alignment horizontal="right" vertical="center"/>
    </xf>
    <xf numFmtId="0" fontId="1" fillId="2" borderId="12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vertical="center" wrapText="1"/>
    </xf>
    <xf numFmtId="0" fontId="32" fillId="0" borderId="0" xfId="0" applyFont="1" applyAlignment="1">
      <alignment horizontal="center"/>
    </xf>
    <xf numFmtId="0" fontId="5" fillId="2" borderId="18" xfId="0" applyFont="1" applyFill="1" applyBorder="1" applyAlignment="1">
      <alignment horizontal="center" wrapText="1"/>
    </xf>
    <xf numFmtId="0" fontId="30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" fillId="2" borderId="11" xfId="0" applyFont="1" applyFill="1" applyBorder="1" applyAlignment="1">
      <alignment horizontal="center" wrapText="1"/>
    </xf>
    <xf numFmtId="3" fontId="11" fillId="4" borderId="2" xfId="0" applyNumberFormat="1" applyFont="1" applyFill="1" applyBorder="1" applyAlignment="1">
      <alignment horizontal="center" vertical="top" wrapText="1"/>
    </xf>
    <xf numFmtId="3" fontId="31" fillId="0" borderId="2" xfId="0" applyNumberFormat="1" applyFont="1" applyBorder="1" applyAlignment="1">
      <alignment horizontal="center" vertical="top" wrapText="1"/>
    </xf>
    <xf numFmtId="165" fontId="31" fillId="0" borderId="2" xfId="0" applyNumberFormat="1" applyFont="1" applyBorder="1" applyAlignment="1">
      <alignment horizontal="center" vertical="top" wrapText="1"/>
    </xf>
    <xf numFmtId="0" fontId="66" fillId="0" borderId="5" xfId="0" applyFont="1" applyBorder="1" applyAlignment="1">
      <alignment wrapText="1"/>
    </xf>
    <xf numFmtId="0" fontId="69" fillId="2" borderId="2" xfId="0" applyFont="1" applyFill="1" applyBorder="1" applyAlignment="1">
      <alignment wrapText="1"/>
    </xf>
    <xf numFmtId="0" fontId="69" fillId="2" borderId="21" xfId="0" applyFont="1" applyFill="1" applyBorder="1" applyAlignment="1">
      <alignment wrapText="1"/>
    </xf>
    <xf numFmtId="0" fontId="68" fillId="0" borderId="2" xfId="0" applyFont="1" applyBorder="1" applyAlignment="1">
      <alignment horizontal="center" wrapText="1"/>
    </xf>
    <xf numFmtId="0" fontId="71" fillId="24" borderId="0" xfId="0" applyFont="1" applyFill="1" applyAlignment="1">
      <alignment wrapText="1"/>
    </xf>
    <xf numFmtId="0" fontId="69" fillId="24" borderId="0" xfId="0" applyFont="1" applyFill="1" applyAlignment="1">
      <alignment horizontal="center" wrapText="1"/>
    </xf>
    <xf numFmtId="0" fontId="0" fillId="24" borderId="0" xfId="0" applyFill="1"/>
    <xf numFmtId="0" fontId="18" fillId="2" borderId="1" xfId="0" applyFont="1" applyFill="1" applyBorder="1" applyAlignment="1">
      <alignment wrapText="1"/>
    </xf>
    <xf numFmtId="0" fontId="69" fillId="2" borderId="18" xfId="0" applyFont="1" applyFill="1" applyBorder="1" applyAlignment="1">
      <alignment wrapText="1"/>
    </xf>
    <xf numFmtId="0" fontId="69" fillId="2" borderId="19" xfId="0" applyFont="1" applyFill="1" applyBorder="1" applyAlignment="1">
      <alignment wrapText="1"/>
    </xf>
    <xf numFmtId="0" fontId="19" fillId="3" borderId="20" xfId="0" applyFont="1" applyFill="1" applyBorder="1" applyAlignment="1">
      <alignment wrapText="1"/>
    </xf>
    <xf numFmtId="0" fontId="18" fillId="4" borderId="22" xfId="0" applyFont="1" applyFill="1" applyBorder="1" applyAlignment="1">
      <alignment wrapText="1"/>
    </xf>
    <xf numFmtId="0" fontId="18" fillId="4" borderId="20" xfId="0" applyFont="1" applyFill="1" applyBorder="1" applyAlignment="1">
      <alignment wrapText="1"/>
    </xf>
    <xf numFmtId="0" fontId="19" fillId="0" borderId="20" xfId="0" applyFont="1" applyBorder="1" applyAlignment="1">
      <alignment wrapText="1"/>
    </xf>
    <xf numFmtId="0" fontId="80" fillId="0" borderId="20" xfId="0" applyFont="1" applyBorder="1" applyAlignment="1">
      <alignment wrapText="1"/>
    </xf>
    <xf numFmtId="0" fontId="19" fillId="0" borderId="22" xfId="0" applyFont="1" applyBorder="1" applyAlignment="1">
      <alignment wrapText="1"/>
    </xf>
    <xf numFmtId="0" fontId="69" fillId="2" borderId="1" xfId="0" applyFont="1" applyFill="1" applyBorder="1" applyAlignment="1">
      <alignment wrapText="1"/>
    </xf>
    <xf numFmtId="0" fontId="69" fillId="2" borderId="3" xfId="0" applyFont="1" applyFill="1" applyBorder="1" applyAlignment="1">
      <alignment wrapText="1"/>
    </xf>
    <xf numFmtId="0" fontId="69" fillId="2" borderId="4" xfId="0" applyFont="1" applyFill="1" applyBorder="1" applyAlignment="1">
      <alignment wrapText="1"/>
    </xf>
    <xf numFmtId="0" fontId="68" fillId="0" borderId="5" xfId="0" applyFont="1" applyBorder="1" applyAlignment="1">
      <alignment wrapText="1"/>
    </xf>
    <xf numFmtId="0" fontId="69" fillId="12" borderId="6" xfId="0" applyFont="1" applyFill="1" applyBorder="1" applyAlignment="1">
      <alignment wrapText="1"/>
    </xf>
    <xf numFmtId="0" fontId="5" fillId="15" borderId="1" xfId="0" applyFont="1" applyFill="1" applyBorder="1" applyAlignment="1">
      <alignment wrapText="1"/>
    </xf>
    <xf numFmtId="0" fontId="5" fillId="14" borderId="5" xfId="0" applyFont="1" applyFill="1" applyBorder="1" applyAlignment="1">
      <alignment wrapText="1"/>
    </xf>
    <xf numFmtId="0" fontId="5" fillId="7" borderId="5" xfId="0" applyFont="1" applyFill="1" applyBorder="1" applyAlignment="1">
      <alignment wrapText="1"/>
    </xf>
    <xf numFmtId="0" fontId="66" fillId="0" borderId="6" xfId="0" applyFont="1" applyBorder="1" applyAlignment="1">
      <alignment wrapText="1"/>
    </xf>
    <xf numFmtId="0" fontId="69" fillId="2" borderId="20" xfId="0" applyFont="1" applyFill="1" applyBorder="1" applyAlignment="1">
      <alignment wrapText="1"/>
    </xf>
    <xf numFmtId="0" fontId="69" fillId="4" borderId="20" xfId="0" applyFont="1" applyFill="1" applyBorder="1" applyAlignment="1">
      <alignment wrapText="1"/>
    </xf>
    <xf numFmtId="0" fontId="68" fillId="0" borderId="20" xfId="0" applyFont="1" applyBorder="1" applyAlignment="1">
      <alignment wrapText="1"/>
    </xf>
    <xf numFmtId="0" fontId="68" fillId="0" borderId="22" xfId="0" applyFont="1" applyBorder="1" applyAlignment="1">
      <alignment wrapText="1"/>
    </xf>
    <xf numFmtId="0" fontId="69" fillId="2" borderId="9" xfId="0" applyFont="1" applyFill="1" applyBorder="1" applyAlignment="1">
      <alignment wrapText="1"/>
    </xf>
    <xf numFmtId="0" fontId="69" fillId="2" borderId="43" xfId="0" applyFont="1" applyFill="1" applyBorder="1" applyAlignment="1">
      <alignment wrapText="1"/>
    </xf>
    <xf numFmtId="0" fontId="5" fillId="5" borderId="6" xfId="0" applyFont="1" applyFill="1" applyBorder="1" applyAlignment="1">
      <alignment wrapText="1"/>
    </xf>
    <xf numFmtId="0" fontId="69" fillId="6" borderId="5" xfId="0" applyFont="1" applyFill="1" applyBorder="1" applyAlignment="1">
      <alignment wrapText="1"/>
    </xf>
    <xf numFmtId="0" fontId="69" fillId="0" borderId="5" xfId="0" applyFont="1" applyBorder="1" applyAlignment="1">
      <alignment wrapText="1"/>
    </xf>
    <xf numFmtId="0" fontId="5" fillId="19" borderId="20" xfId="0" applyFont="1" applyFill="1" applyBorder="1" applyAlignment="1">
      <alignment wrapText="1"/>
    </xf>
    <xf numFmtId="0" fontId="11" fillId="0" borderId="0" xfId="0" applyFont="1" applyAlignment="1">
      <alignment horizontal="left" vertical="center"/>
    </xf>
    <xf numFmtId="0" fontId="69" fillId="4" borderId="5" xfId="0" applyFont="1" applyFill="1" applyBorder="1" applyAlignment="1">
      <alignment wrapText="1"/>
    </xf>
    <xf numFmtId="0" fontId="68" fillId="0" borderId="6" xfId="0" applyFont="1" applyBorder="1" applyAlignment="1">
      <alignment wrapText="1"/>
    </xf>
    <xf numFmtId="0" fontId="6" fillId="8" borderId="35" xfId="0" applyFont="1" applyFill="1" applyBorder="1" applyAlignment="1">
      <alignment horizontal="center" wrapText="1"/>
    </xf>
    <xf numFmtId="0" fontId="6" fillId="8" borderId="36" xfId="0" applyFont="1" applyFill="1" applyBorder="1" applyAlignment="1">
      <alignment horizontal="center" wrapText="1"/>
    </xf>
    <xf numFmtId="0" fontId="67" fillId="24" borderId="0" xfId="0" applyFont="1" applyFill="1" applyAlignment="1">
      <alignment wrapText="1"/>
    </xf>
    <xf numFmtId="3" fontId="30" fillId="0" borderId="0" xfId="0" applyNumberFormat="1" applyFont="1" applyAlignment="1">
      <alignment horizontal="right" vertical="center"/>
    </xf>
    <xf numFmtId="0" fontId="30" fillId="0" borderId="0" xfId="0" applyFont="1" applyAlignment="1">
      <alignment vertical="center"/>
    </xf>
    <xf numFmtId="0" fontId="72" fillId="0" borderId="31" xfId="0" applyFont="1" applyBorder="1" applyAlignment="1">
      <alignment wrapText="1"/>
    </xf>
    <xf numFmtId="0" fontId="72" fillId="0" borderId="16" xfId="0" applyFont="1" applyBorder="1" applyAlignment="1">
      <alignment wrapText="1"/>
    </xf>
    <xf numFmtId="0" fontId="73" fillId="4" borderId="26" xfId="0" applyFont="1" applyFill="1" applyBorder="1" applyAlignment="1">
      <alignment wrapText="1"/>
    </xf>
    <xf numFmtId="0" fontId="73" fillId="2" borderId="27" xfId="0" applyFont="1" applyFill="1" applyBorder="1" applyAlignment="1">
      <alignment wrapText="1"/>
    </xf>
    <xf numFmtId="0" fontId="73" fillId="2" borderId="8" xfId="0" applyFont="1" applyFill="1" applyBorder="1" applyAlignment="1">
      <alignment wrapText="1"/>
    </xf>
    <xf numFmtId="0" fontId="73" fillId="2" borderId="8" xfId="0" applyFont="1" applyFill="1" applyBorder="1" applyAlignment="1">
      <alignment horizontal="center" wrapText="1"/>
    </xf>
    <xf numFmtId="0" fontId="73" fillId="2" borderId="41" xfId="0" applyFont="1" applyFill="1" applyBorder="1" applyAlignment="1">
      <alignment wrapText="1"/>
    </xf>
    <xf numFmtId="0" fontId="31" fillId="0" borderId="2" xfId="0" applyFont="1" applyBorder="1"/>
    <xf numFmtId="166" fontId="31" fillId="0" borderId="2" xfId="2" applyNumberFormat="1" applyFont="1" applyBorder="1" applyAlignment="1">
      <alignment horizontal="center" vertical="center" wrapText="1"/>
    </xf>
    <xf numFmtId="166" fontId="31" fillId="27" borderId="2" xfId="2" applyNumberFormat="1" applyFont="1" applyFill="1" applyBorder="1" applyAlignment="1">
      <alignment horizontal="center" vertical="top" wrapText="1"/>
    </xf>
    <xf numFmtId="166" fontId="31" fillId="0" borderId="2" xfId="2" applyNumberFormat="1" applyFont="1" applyBorder="1" applyAlignment="1">
      <alignment horizontal="center" vertical="top" wrapText="1"/>
    </xf>
    <xf numFmtId="166" fontId="31" fillId="24" borderId="2" xfId="2" applyNumberFormat="1" applyFont="1" applyFill="1" applyBorder="1" applyAlignment="1">
      <alignment horizontal="center" vertical="top" wrapText="1"/>
    </xf>
    <xf numFmtId="166" fontId="31" fillId="24" borderId="2" xfId="2" applyNumberFormat="1" applyFont="1" applyFill="1" applyBorder="1" applyAlignment="1">
      <alignment horizontal="center" vertical="center" wrapText="1"/>
    </xf>
    <xf numFmtId="166" fontId="31" fillId="27" borderId="2" xfId="2" applyNumberFormat="1" applyFont="1" applyFill="1" applyBorder="1" applyAlignment="1">
      <alignment horizontal="center" vertical="center" wrapText="1"/>
    </xf>
    <xf numFmtId="166" fontId="28" fillId="0" borderId="11" xfId="2" applyNumberFormat="1" applyFont="1" applyBorder="1" applyAlignment="1">
      <alignment horizontal="center" vertical="center" wrapText="1"/>
    </xf>
    <xf numFmtId="166" fontId="28" fillId="0" borderId="11" xfId="2" applyNumberFormat="1" applyFont="1" applyBorder="1" applyAlignment="1">
      <alignment horizontal="center" vertical="top" wrapText="1"/>
    </xf>
    <xf numFmtId="166" fontId="28" fillId="0" borderId="14" xfId="2" applyNumberFormat="1" applyFont="1" applyBorder="1" applyAlignment="1">
      <alignment horizontal="center" vertical="top" wrapText="1"/>
    </xf>
    <xf numFmtId="166" fontId="28" fillId="0" borderId="9" xfId="2" applyNumberFormat="1" applyFont="1" applyBorder="1" applyAlignment="1">
      <alignment horizontal="center" vertical="top" wrapText="1"/>
    </xf>
    <xf numFmtId="166" fontId="28" fillId="0" borderId="9" xfId="2" applyNumberFormat="1" applyFont="1" applyBorder="1" applyAlignment="1">
      <alignment horizontal="center" vertical="center" wrapText="1"/>
    </xf>
    <xf numFmtId="166" fontId="28" fillId="0" borderId="2" xfId="2" applyNumberFormat="1" applyFont="1" applyBorder="1" applyAlignment="1">
      <alignment horizontal="center" vertical="top" wrapText="1"/>
    </xf>
    <xf numFmtId="166" fontId="28" fillId="0" borderId="2" xfId="2" applyNumberFormat="1" applyFont="1" applyBorder="1" applyAlignment="1">
      <alignment horizontal="center" vertical="center" wrapText="1"/>
    </xf>
    <xf numFmtId="166" fontId="28" fillId="0" borderId="2" xfId="2" applyNumberFormat="1" applyFont="1" applyFill="1" applyBorder="1" applyAlignment="1">
      <alignment horizontal="center" vertical="center" wrapText="1"/>
    </xf>
    <xf numFmtId="166" fontId="28" fillId="0" borderId="2" xfId="2" applyNumberFormat="1" applyFont="1" applyFill="1" applyBorder="1" applyAlignment="1">
      <alignment horizontal="center" vertical="top" wrapText="1"/>
    </xf>
    <xf numFmtId="0" fontId="36" fillId="0" borderId="0" xfId="0" applyFont="1"/>
    <xf numFmtId="0" fontId="11" fillId="2" borderId="2" xfId="0" applyFont="1" applyFill="1" applyBorder="1" applyAlignment="1">
      <alignment horizontal="center" vertical="center" wrapText="1"/>
    </xf>
    <xf numFmtId="3" fontId="11" fillId="4" borderId="2" xfId="0" applyNumberFormat="1" applyFont="1" applyFill="1" applyBorder="1" applyAlignment="1">
      <alignment horizontal="center" vertical="center" wrapText="1"/>
    </xf>
    <xf numFmtId="3" fontId="31" fillId="0" borderId="2" xfId="0" applyNumberFormat="1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justify" vertical="center" wrapText="1"/>
    </xf>
    <xf numFmtId="1" fontId="11" fillId="8" borderId="2" xfId="0" applyNumberFormat="1" applyFont="1" applyFill="1" applyBorder="1" applyAlignment="1">
      <alignment horizontal="center" vertical="center" wrapText="1"/>
    </xf>
    <xf numFmtId="1" fontId="30" fillId="0" borderId="2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7" fillId="0" borderId="45" xfId="0" applyFont="1" applyBorder="1" applyAlignment="1">
      <alignment horizontal="center" wrapText="1"/>
    </xf>
    <xf numFmtId="0" fontId="5" fillId="2" borderId="19" xfId="0" applyFont="1" applyFill="1" applyBorder="1" applyAlignment="1">
      <alignment horizontal="center" wrapText="1"/>
    </xf>
    <xf numFmtId="3" fontId="5" fillId="4" borderId="2" xfId="0" applyNumberFormat="1" applyFont="1" applyFill="1" applyBorder="1" applyAlignment="1">
      <alignment horizontal="center" wrapText="1"/>
    </xf>
    <xf numFmtId="3" fontId="66" fillId="0" borderId="2" xfId="0" applyNumberFormat="1" applyFont="1" applyBorder="1" applyAlignment="1">
      <alignment horizontal="center" wrapText="1"/>
    </xf>
    <xf numFmtId="3" fontId="5" fillId="4" borderId="17" xfId="0" applyNumberFormat="1" applyFont="1" applyFill="1" applyBorder="1" applyAlignment="1">
      <alignment horizontal="center" wrapText="1"/>
    </xf>
    <xf numFmtId="3" fontId="66" fillId="0" borderId="35" xfId="0" applyNumberFormat="1" applyFont="1" applyBorder="1" applyAlignment="1">
      <alignment horizontal="center" wrapText="1"/>
    </xf>
    <xf numFmtId="0" fontId="11" fillId="28" borderId="2" xfId="0" applyFont="1" applyFill="1" applyBorder="1" applyAlignment="1">
      <alignment vertical="center"/>
    </xf>
    <xf numFmtId="0" fontId="11" fillId="28" borderId="2" xfId="0" applyFont="1" applyFill="1" applyBorder="1" applyAlignment="1">
      <alignment horizontal="right" vertical="center"/>
    </xf>
    <xf numFmtId="0" fontId="11" fillId="29" borderId="2" xfId="0" applyFont="1" applyFill="1" applyBorder="1" applyAlignment="1">
      <alignment vertical="center"/>
    </xf>
    <xf numFmtId="3" fontId="11" fillId="29" borderId="2" xfId="0" applyNumberFormat="1" applyFont="1" applyFill="1" applyBorder="1" applyAlignment="1">
      <alignment horizontal="right" vertical="center" wrapText="1"/>
    </xf>
    <xf numFmtId="3" fontId="31" fillId="0" borderId="2" xfId="0" applyNumberFormat="1" applyFont="1" applyBorder="1" applyAlignment="1">
      <alignment horizontal="right" vertical="center" wrapText="1"/>
    </xf>
    <xf numFmtId="0" fontId="11" fillId="29" borderId="2" xfId="0" applyFont="1" applyFill="1" applyBorder="1" applyAlignment="1">
      <alignment horizontal="right" vertical="center" wrapText="1"/>
    </xf>
    <xf numFmtId="0" fontId="69" fillId="2" borderId="28" xfId="0" applyFont="1" applyFill="1" applyBorder="1" applyAlignment="1">
      <alignment wrapText="1"/>
    </xf>
    <xf numFmtId="0" fontId="69" fillId="2" borderId="29" xfId="0" applyFont="1" applyFill="1" applyBorder="1" applyAlignment="1">
      <alignment wrapText="1"/>
    </xf>
    <xf numFmtId="0" fontId="69" fillId="2" borderId="4" xfId="0" applyFont="1" applyFill="1" applyBorder="1" applyAlignment="1">
      <alignment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justify" vertical="center" wrapText="1"/>
    </xf>
    <xf numFmtId="0" fontId="69" fillId="2" borderId="3" xfId="0" applyFont="1" applyFill="1" applyBorder="1" applyAlignment="1">
      <alignment horizontal="center" wrapText="1"/>
    </xf>
    <xf numFmtId="0" fontId="69" fillId="2" borderId="4" xfId="0" applyFont="1" applyFill="1" applyBorder="1" applyAlignment="1">
      <alignment horizontal="center" wrapText="1"/>
    </xf>
    <xf numFmtId="2" fontId="31" fillId="0" borderId="2" xfId="0" applyNumberFormat="1" applyFont="1" applyBorder="1" applyAlignment="1">
      <alignment horizontal="left" vertical="center"/>
    </xf>
    <xf numFmtId="3" fontId="0" fillId="0" borderId="0" xfId="0" applyNumberFormat="1"/>
    <xf numFmtId="0" fontId="7" fillId="0" borderId="2" xfId="0" applyFont="1" applyBorder="1" applyAlignment="1">
      <alignment horizontal="center" wrapText="1"/>
    </xf>
    <xf numFmtId="3" fontId="7" fillId="0" borderId="2" xfId="0" applyNumberFormat="1" applyFont="1" applyBorder="1" applyAlignment="1">
      <alignment horizontal="center" wrapText="1"/>
    </xf>
    <xf numFmtId="3" fontId="7" fillId="3" borderId="45" xfId="0" applyNumberFormat="1" applyFont="1" applyFill="1" applyBorder="1" applyAlignment="1">
      <alignment horizontal="center" wrapText="1"/>
    </xf>
    <xf numFmtId="3" fontId="25" fillId="30" borderId="45" xfId="0" applyNumberFormat="1" applyFont="1" applyFill="1" applyBorder="1" applyAlignment="1">
      <alignment horizontal="center" wrapText="1"/>
    </xf>
    <xf numFmtId="164" fontId="7" fillId="0" borderId="44" xfId="2" applyNumberFormat="1" applyFont="1" applyBorder="1" applyAlignment="1">
      <alignment horizontal="center" wrapText="1"/>
    </xf>
    <xf numFmtId="164" fontId="5" fillId="5" borderId="46" xfId="2" applyNumberFormat="1" applyFont="1" applyFill="1" applyBorder="1" applyAlignment="1">
      <alignment horizontal="center" wrapText="1"/>
    </xf>
    <xf numFmtId="3" fontId="25" fillId="27" borderId="2" xfId="0" applyNumberFormat="1" applyFont="1" applyFill="1" applyBorder="1" applyAlignment="1">
      <alignment horizontal="center" wrapText="1"/>
    </xf>
    <xf numFmtId="3" fontId="25" fillId="30" borderId="2" xfId="0" applyNumberFormat="1" applyFont="1" applyFill="1" applyBorder="1" applyAlignment="1">
      <alignment horizontal="center" wrapText="1"/>
    </xf>
    <xf numFmtId="0" fontId="5" fillId="30" borderId="22" xfId="0" applyFont="1" applyFill="1" applyBorder="1" applyAlignment="1">
      <alignment wrapText="1"/>
    </xf>
    <xf numFmtId="164" fontId="7" fillId="0" borderId="45" xfId="2" applyNumberFormat="1" applyFont="1" applyBorder="1" applyAlignment="1">
      <alignment horizontal="center" wrapText="1"/>
    </xf>
    <xf numFmtId="164" fontId="5" fillId="6" borderId="45" xfId="2" applyNumberFormat="1" applyFont="1" applyFill="1" applyBorder="1" applyAlignment="1">
      <alignment horizontal="center" wrapText="1"/>
    </xf>
    <xf numFmtId="164" fontId="5" fillId="5" borderId="47" xfId="2" applyNumberFormat="1" applyFont="1" applyFill="1" applyBorder="1" applyAlignment="1">
      <alignment horizontal="center" wrapText="1"/>
    </xf>
    <xf numFmtId="164" fontId="5" fillId="6" borderId="44" xfId="2" applyNumberFormat="1" applyFont="1" applyFill="1" applyBorder="1" applyAlignment="1">
      <alignment horizontal="center" wrapText="1"/>
    </xf>
    <xf numFmtId="164" fontId="5" fillId="0" borderId="44" xfId="2" applyNumberFormat="1" applyFont="1" applyBorder="1" applyAlignment="1">
      <alignment horizontal="center" wrapText="1"/>
    </xf>
    <xf numFmtId="164" fontId="5" fillId="0" borderId="45" xfId="2" applyNumberFormat="1" applyFont="1" applyBorder="1" applyAlignment="1">
      <alignment horizontal="center" wrapText="1"/>
    </xf>
    <xf numFmtId="164" fontId="66" fillId="0" borderId="44" xfId="2" applyNumberFormat="1" applyFont="1" applyBorder="1" applyAlignment="1">
      <alignment horizontal="center" wrapText="1"/>
    </xf>
    <xf numFmtId="164" fontId="83" fillId="0" borderId="45" xfId="2" applyNumberFormat="1" applyFont="1" applyBorder="1" applyAlignment="1">
      <alignment horizontal="center" wrapText="1"/>
    </xf>
    <xf numFmtId="164" fontId="66" fillId="0" borderId="45" xfId="2" applyNumberFormat="1" applyFont="1" applyBorder="1" applyAlignment="1">
      <alignment horizontal="center" wrapText="1"/>
    </xf>
    <xf numFmtId="164" fontId="66" fillId="3" borderId="44" xfId="2" applyNumberFormat="1" applyFont="1" applyFill="1" applyBorder="1" applyAlignment="1">
      <alignment horizontal="center" wrapText="1"/>
    </xf>
    <xf numFmtId="164" fontId="66" fillId="3" borderId="45" xfId="2" applyNumberFormat="1" applyFont="1" applyFill="1" applyBorder="1" applyAlignment="1">
      <alignment horizontal="center" wrapText="1"/>
    </xf>
    <xf numFmtId="0" fontId="11" fillId="2" borderId="11" xfId="0" applyFont="1" applyFill="1" applyBorder="1" applyAlignment="1"/>
    <xf numFmtId="164" fontId="1" fillId="4" borderId="11" xfId="2" applyNumberFormat="1" applyFont="1" applyFill="1" applyBorder="1" applyAlignment="1">
      <alignment wrapText="1"/>
    </xf>
    <xf numFmtId="164" fontId="36" fillId="0" borderId="11" xfId="2" applyNumberFormat="1" applyFont="1" applyBorder="1" applyAlignment="1">
      <alignment wrapText="1"/>
    </xf>
    <xf numFmtId="0" fontId="0" fillId="0" borderId="11" xfId="0" applyBorder="1" applyAlignment="1"/>
    <xf numFmtId="164" fontId="30" fillId="0" borderId="11" xfId="2" applyNumberFormat="1" applyFont="1" applyBorder="1" applyAlignment="1">
      <alignment wrapText="1"/>
    </xf>
    <xf numFmtId="164" fontId="30" fillId="0" borderId="11" xfId="2" applyNumberFormat="1" applyFont="1" applyFill="1" applyBorder="1" applyAlignment="1">
      <alignment wrapText="1"/>
    </xf>
    <xf numFmtId="164" fontId="36" fillId="0" borderId="11" xfId="2" applyNumberFormat="1" applyFont="1" applyFill="1" applyBorder="1" applyAlignment="1">
      <alignment wrapText="1"/>
    </xf>
    <xf numFmtId="164" fontId="30" fillId="0" borderId="16" xfId="2" applyNumberFormat="1" applyFont="1" applyBorder="1" applyAlignment="1">
      <alignment wrapText="1"/>
    </xf>
    <xf numFmtId="164" fontId="36" fillId="0" borderId="16" xfId="2" applyNumberFormat="1" applyFont="1" applyBorder="1" applyAlignment="1">
      <alignment wrapText="1"/>
    </xf>
    <xf numFmtId="164" fontId="36" fillId="31" borderId="11" xfId="2" applyNumberFormat="1" applyFont="1" applyFill="1" applyBorder="1" applyAlignment="1">
      <alignment wrapText="1"/>
    </xf>
    <xf numFmtId="0" fontId="0" fillId="31" borderId="11" xfId="0" applyFill="1" applyBorder="1" applyAlignment="1"/>
    <xf numFmtId="0" fontId="31" fillId="32" borderId="9" xfId="0" applyFont="1" applyFill="1" applyBorder="1" applyAlignment="1">
      <alignment horizontal="center" vertical="center"/>
    </xf>
    <xf numFmtId="3" fontId="31" fillId="32" borderId="2" xfId="0" applyNumberFormat="1" applyFont="1" applyFill="1" applyBorder="1" applyAlignment="1">
      <alignment horizontal="center" vertical="center"/>
    </xf>
    <xf numFmtId="0" fontId="31" fillId="32" borderId="7" xfId="0" applyFont="1" applyFill="1" applyBorder="1" applyAlignment="1">
      <alignment horizontal="center" vertical="center"/>
    </xf>
    <xf numFmtId="165" fontId="33" fillId="0" borderId="9" xfId="0" applyNumberFormat="1" applyFont="1" applyBorder="1" applyAlignment="1">
      <alignment horizontal="center" vertical="center"/>
    </xf>
    <xf numFmtId="3" fontId="11" fillId="29" borderId="2" xfId="0" applyNumberFormat="1" applyFont="1" applyFill="1" applyBorder="1" applyAlignment="1">
      <alignment horizontal="center" vertical="center"/>
    </xf>
    <xf numFmtId="165" fontId="38" fillId="4" borderId="44" xfId="3" applyNumberFormat="1" applyFont="1" applyFill="1" applyBorder="1" applyAlignment="1">
      <alignment horizontal="center" wrapText="1"/>
    </xf>
    <xf numFmtId="165" fontId="33" fillId="0" borderId="44" xfId="3" applyNumberFormat="1" applyFont="1" applyBorder="1" applyAlignment="1">
      <alignment horizontal="center" wrapText="1"/>
    </xf>
    <xf numFmtId="165" fontId="33" fillId="0" borderId="46" xfId="3" applyNumberFormat="1" applyFont="1" applyBorder="1" applyAlignment="1">
      <alignment horizontal="center" wrapText="1"/>
    </xf>
    <xf numFmtId="3" fontId="11" fillId="33" borderId="2" xfId="0" applyNumberFormat="1" applyFont="1" applyFill="1" applyBorder="1" applyAlignment="1">
      <alignment horizontal="center" vertical="center"/>
    </xf>
    <xf numFmtId="0" fontId="11" fillId="33" borderId="2" xfId="0" applyFont="1" applyFill="1" applyBorder="1" applyAlignment="1">
      <alignment horizontal="center" vertical="center"/>
    </xf>
    <xf numFmtId="165" fontId="38" fillId="33" borderId="2" xfId="0" applyNumberFormat="1" applyFont="1" applyFill="1" applyBorder="1" applyAlignment="1">
      <alignment horizontal="center" vertical="center"/>
    </xf>
    <xf numFmtId="0" fontId="11" fillId="28" borderId="2" xfId="0" applyFont="1" applyFill="1" applyBorder="1" applyAlignment="1">
      <alignment vertical="top"/>
    </xf>
    <xf numFmtId="0" fontId="11" fillId="29" borderId="2" xfId="0" applyFont="1" applyFill="1" applyBorder="1" applyAlignment="1">
      <alignment horizontal="left" vertical="center" wrapText="1"/>
    </xf>
    <xf numFmtId="0" fontId="31" fillId="0" borderId="2" xfId="0" applyFont="1" applyBorder="1" applyAlignment="1">
      <alignment horizontal="left" vertical="center"/>
    </xf>
    <xf numFmtId="0" fontId="11" fillId="28" borderId="9" xfId="0" applyFont="1" applyFill="1" applyBorder="1" applyAlignment="1">
      <alignment horizontal="center" vertical="top"/>
    </xf>
    <xf numFmtId="0" fontId="11" fillId="28" borderId="9" xfId="0" applyFont="1" applyFill="1" applyBorder="1" applyAlignment="1">
      <alignment horizontal="center" vertical="center"/>
    </xf>
    <xf numFmtId="3" fontId="11" fillId="29" borderId="2" xfId="0" applyNumberFormat="1" applyFont="1" applyFill="1" applyBorder="1" applyAlignment="1">
      <alignment horizontal="center" vertical="top" wrapText="1"/>
    </xf>
    <xf numFmtId="0" fontId="11" fillId="29" borderId="2" xfId="0" applyFont="1" applyFill="1" applyBorder="1" applyAlignment="1">
      <alignment horizontal="center" vertical="top" wrapText="1"/>
    </xf>
    <xf numFmtId="0" fontId="31" fillId="0" borderId="51" xfId="0" applyFont="1" applyBorder="1" applyAlignment="1">
      <alignment horizontal="center"/>
    </xf>
    <xf numFmtId="3" fontId="31" fillId="0" borderId="2" xfId="0" applyNumberFormat="1" applyFont="1" applyBorder="1" applyAlignment="1">
      <alignment horizontal="center" vertical="top"/>
    </xf>
    <xf numFmtId="0" fontId="31" fillId="0" borderId="2" xfId="0" applyFont="1" applyBorder="1" applyAlignment="1">
      <alignment horizontal="center" vertical="top"/>
    </xf>
    <xf numFmtId="3" fontId="11" fillId="0" borderId="2" xfId="0" applyNumberFormat="1" applyFont="1" applyBorder="1" applyAlignment="1">
      <alignment horizontal="center" vertical="top" wrapText="1"/>
    </xf>
    <xf numFmtId="41" fontId="11" fillId="29" borderId="2" xfId="0" applyNumberFormat="1" applyFont="1" applyFill="1" applyBorder="1" applyAlignment="1">
      <alignment horizontal="center" vertical="top" wrapText="1"/>
    </xf>
    <xf numFmtId="41" fontId="31" fillId="0" borderId="2" xfId="0" applyNumberFormat="1" applyFont="1" applyBorder="1" applyAlignment="1">
      <alignment horizontal="center" vertical="top"/>
    </xf>
    <xf numFmtId="0" fontId="11" fillId="28" borderId="2" xfId="0" applyFont="1" applyFill="1" applyBorder="1" applyAlignment="1">
      <alignment horizontal="right" vertical="top"/>
    </xf>
    <xf numFmtId="165" fontId="38" fillId="29" borderId="2" xfId="0" applyNumberFormat="1" applyFont="1" applyFill="1" applyBorder="1" applyAlignment="1">
      <alignment vertical="top" wrapText="1"/>
    </xf>
    <xf numFmtId="165" fontId="38" fillId="29" borderId="2" xfId="0" applyNumberFormat="1" applyFont="1" applyFill="1" applyBorder="1" applyAlignment="1">
      <alignment horizontal="right" vertical="top" wrapText="1"/>
    </xf>
    <xf numFmtId="165" fontId="33" fillId="0" borderId="2" xfId="0" applyNumberFormat="1" applyFont="1" applyBorder="1" applyAlignment="1">
      <alignment vertical="top"/>
    </xf>
    <xf numFmtId="165" fontId="33" fillId="0" borderId="2" xfId="0" applyNumberFormat="1" applyFont="1" applyBorder="1" applyAlignment="1">
      <alignment horizontal="right" vertical="top"/>
    </xf>
    <xf numFmtId="0" fontId="11" fillId="0" borderId="0" xfId="0" applyFont="1" applyBorder="1" applyAlignment="1">
      <alignment horizontal="left" vertical="top"/>
    </xf>
    <xf numFmtId="0" fontId="31" fillId="0" borderId="0" xfId="0" applyFont="1" applyBorder="1" applyAlignment="1">
      <alignment horizontal="left" vertical="center"/>
    </xf>
    <xf numFmtId="3" fontId="31" fillId="0" borderId="0" xfId="0" applyNumberFormat="1" applyFont="1" applyBorder="1" applyAlignment="1">
      <alignment horizontal="center" vertical="top"/>
    </xf>
    <xf numFmtId="0" fontId="31" fillId="0" borderId="0" xfId="0" applyFont="1" applyBorder="1" applyAlignment="1">
      <alignment horizontal="center" vertical="top"/>
    </xf>
    <xf numFmtId="3" fontId="11" fillId="0" borderId="0" xfId="0" applyNumberFormat="1" applyFont="1" applyBorder="1" applyAlignment="1">
      <alignment horizontal="center" vertical="top" wrapText="1"/>
    </xf>
    <xf numFmtId="165" fontId="33" fillId="0" borderId="0" xfId="0" applyNumberFormat="1" applyFont="1" applyBorder="1" applyAlignment="1">
      <alignment vertical="top"/>
    </xf>
    <xf numFmtId="165" fontId="33" fillId="0" borderId="0" xfId="0" applyNumberFormat="1" applyFont="1" applyBorder="1" applyAlignment="1">
      <alignment horizontal="right" vertical="top"/>
    </xf>
    <xf numFmtId="9" fontId="38" fillId="29" borderId="2" xfId="0" applyNumberFormat="1" applyFont="1" applyFill="1" applyBorder="1" applyAlignment="1">
      <alignment horizontal="right" vertical="top" wrapText="1"/>
    </xf>
    <xf numFmtId="9" fontId="33" fillId="0" borderId="2" xfId="0" applyNumberFormat="1" applyFont="1" applyBorder="1" applyAlignment="1">
      <alignment horizontal="right" vertical="top"/>
    </xf>
    <xf numFmtId="164" fontId="5" fillId="15" borderId="3" xfId="2" applyNumberFormat="1" applyFont="1" applyFill="1" applyBorder="1" applyAlignment="1">
      <alignment horizontal="center" wrapText="1"/>
    </xf>
    <xf numFmtId="164" fontId="5" fillId="15" borderId="4" xfId="2" applyNumberFormat="1" applyFont="1" applyFill="1" applyBorder="1" applyAlignment="1">
      <alignment horizontal="center" wrapText="1"/>
    </xf>
    <xf numFmtId="164" fontId="5" fillId="14" borderId="44" xfId="2" applyNumberFormat="1" applyFont="1" applyFill="1" applyBorder="1" applyAlignment="1">
      <alignment horizontal="center" wrapText="1"/>
    </xf>
    <xf numFmtId="164" fontId="5" fillId="14" borderId="45" xfId="2" applyNumberFormat="1" applyFont="1" applyFill="1" applyBorder="1" applyAlignment="1">
      <alignment horizontal="center" wrapText="1"/>
    </xf>
    <xf numFmtId="164" fontId="5" fillId="7" borderId="44" xfId="2" applyNumberFormat="1" applyFont="1" applyFill="1" applyBorder="1" applyAlignment="1">
      <alignment horizontal="center" wrapText="1"/>
    </xf>
    <xf numFmtId="164" fontId="5" fillId="7" borderId="45" xfId="2" applyNumberFormat="1" applyFont="1" applyFill="1" applyBorder="1" applyAlignment="1">
      <alignment horizontal="center" wrapText="1"/>
    </xf>
    <xf numFmtId="164" fontId="66" fillId="0" borderId="46" xfId="2" applyNumberFormat="1" applyFont="1" applyBorder="1" applyAlignment="1">
      <alignment horizontal="center" wrapText="1"/>
    </xf>
    <xf numFmtId="164" fontId="66" fillId="0" borderId="47" xfId="2" applyNumberFormat="1" applyFont="1" applyBorder="1" applyAlignment="1">
      <alignment horizontal="center" wrapText="1"/>
    </xf>
    <xf numFmtId="165" fontId="59" fillId="4" borderId="21" xfId="3" applyNumberFormat="1" applyFont="1" applyFill="1" applyBorder="1" applyAlignment="1">
      <alignment wrapText="1"/>
    </xf>
    <xf numFmtId="165" fontId="59" fillId="4" borderId="9" xfId="3" applyNumberFormat="1" applyFont="1" applyFill="1" applyBorder="1" applyAlignment="1">
      <alignment wrapText="1"/>
    </xf>
    <xf numFmtId="165" fontId="59" fillId="4" borderId="43" xfId="3" applyNumberFormat="1" applyFont="1" applyFill="1" applyBorder="1" applyAlignment="1">
      <alignment wrapText="1"/>
    </xf>
    <xf numFmtId="165" fontId="37" fillId="0" borderId="2" xfId="3" applyNumberFormat="1" applyFont="1" applyBorder="1" applyAlignment="1">
      <alignment wrapText="1"/>
    </xf>
    <xf numFmtId="165" fontId="37" fillId="3" borderId="2" xfId="3" applyNumberFormat="1" applyFont="1" applyFill="1" applyBorder="1" applyAlignment="1">
      <alignment wrapText="1"/>
    </xf>
    <xf numFmtId="165" fontId="37" fillId="0" borderId="21" xfId="3" applyNumberFormat="1" applyFont="1" applyBorder="1" applyAlignment="1">
      <alignment wrapText="1"/>
    </xf>
    <xf numFmtId="165" fontId="59" fillId="4" borderId="21" xfId="3" applyNumberFormat="1" applyFont="1" applyFill="1" applyBorder="1" applyAlignment="1">
      <alignment horizontal="center" wrapText="1"/>
    </xf>
    <xf numFmtId="165" fontId="59" fillId="4" borderId="9" xfId="3" applyNumberFormat="1" applyFont="1" applyFill="1" applyBorder="1" applyAlignment="1">
      <alignment horizontal="center" wrapText="1"/>
    </xf>
    <xf numFmtId="165" fontId="59" fillId="4" borderId="43" xfId="3" applyNumberFormat="1" applyFont="1" applyFill="1" applyBorder="1" applyAlignment="1">
      <alignment horizontal="center" wrapText="1"/>
    </xf>
    <xf numFmtId="165" fontId="37" fillId="0" borderId="2" xfId="3" applyNumberFormat="1" applyFont="1" applyBorder="1" applyAlignment="1">
      <alignment horizontal="center" wrapText="1"/>
    </xf>
    <xf numFmtId="165" fontId="37" fillId="3" borderId="2" xfId="3" applyNumberFormat="1" applyFont="1" applyFill="1" applyBorder="1" applyAlignment="1">
      <alignment horizontal="center" wrapText="1"/>
    </xf>
    <xf numFmtId="165" fontId="37" fillId="0" borderId="21" xfId="3" applyNumberFormat="1" applyFont="1" applyBorder="1" applyAlignment="1">
      <alignment horizontal="center" wrapText="1"/>
    </xf>
    <xf numFmtId="165" fontId="37" fillId="0" borderId="23" xfId="3" applyNumberFormat="1" applyFont="1" applyBorder="1" applyAlignment="1">
      <alignment horizontal="center" wrapText="1"/>
    </xf>
    <xf numFmtId="165" fontId="37" fillId="3" borderId="23" xfId="3" applyNumberFormat="1" applyFont="1" applyFill="1" applyBorder="1" applyAlignment="1">
      <alignment horizontal="center" wrapText="1"/>
    </xf>
    <xf numFmtId="165" fontId="37" fillId="0" borderId="24" xfId="3" applyNumberFormat="1" applyFont="1" applyBorder="1" applyAlignment="1">
      <alignment horizontal="center" wrapText="1"/>
    </xf>
    <xf numFmtId="165" fontId="59" fillId="4" borderId="2" xfId="3" applyNumberFormat="1" applyFont="1" applyFill="1" applyBorder="1" applyAlignment="1">
      <alignment horizontal="center" wrapText="1"/>
    </xf>
    <xf numFmtId="165" fontId="59" fillId="4" borderId="2" xfId="3" applyNumberFormat="1" applyFont="1" applyFill="1" applyBorder="1" applyAlignment="1">
      <alignment wrapText="1"/>
    </xf>
    <xf numFmtId="165" fontId="59" fillId="4" borderId="49" xfId="3" applyNumberFormat="1" applyFont="1" applyFill="1" applyBorder="1" applyAlignment="1">
      <alignment horizontal="center" wrapText="1"/>
    </xf>
    <xf numFmtId="165" fontId="37" fillId="3" borderId="12" xfId="3" applyNumberFormat="1" applyFont="1" applyFill="1" applyBorder="1" applyAlignment="1">
      <alignment horizontal="center" wrapText="1"/>
    </xf>
    <xf numFmtId="165" fontId="38" fillId="29" borderId="2" xfId="0" applyNumberFormat="1" applyFont="1" applyFill="1" applyBorder="1" applyAlignment="1">
      <alignment horizontal="center" vertical="center" wrapText="1"/>
    </xf>
    <xf numFmtId="165" fontId="38" fillId="29" borderId="2" xfId="3" applyNumberFormat="1" applyFont="1" applyFill="1" applyBorder="1" applyAlignment="1">
      <alignment horizontal="center" vertical="center" wrapText="1"/>
    </xf>
    <xf numFmtId="165" fontId="33" fillId="32" borderId="2" xfId="0" applyNumberFormat="1" applyFont="1" applyFill="1" applyBorder="1" applyAlignment="1">
      <alignment horizontal="center" vertical="center" wrapText="1"/>
    </xf>
    <xf numFmtId="165" fontId="33" fillId="32" borderId="2" xfId="3" applyNumberFormat="1" applyFont="1" applyFill="1" applyBorder="1" applyAlignment="1">
      <alignment horizontal="center" vertical="center" wrapText="1"/>
    </xf>
    <xf numFmtId="165" fontId="38" fillId="29" borderId="9" xfId="3" applyNumberFormat="1" applyFont="1" applyFill="1" applyBorder="1" applyAlignment="1">
      <alignment horizontal="center" vertical="center"/>
    </xf>
    <xf numFmtId="165" fontId="38" fillId="29" borderId="9" xfId="3" applyNumberFormat="1" applyFont="1" applyFill="1" applyBorder="1" applyAlignment="1">
      <alignment horizontal="center" vertical="top"/>
    </xf>
    <xf numFmtId="165" fontId="33" fillId="0" borderId="2" xfId="3" applyNumberFormat="1" applyFont="1" applyBorder="1" applyAlignment="1">
      <alignment horizontal="center" vertical="top"/>
    </xf>
    <xf numFmtId="165" fontId="38" fillId="29" borderId="2" xfId="3" applyNumberFormat="1" applyFont="1" applyFill="1" applyBorder="1" applyAlignment="1">
      <alignment horizontal="center" vertical="center"/>
    </xf>
    <xf numFmtId="165" fontId="38" fillId="29" borderId="2" xfId="3" applyNumberFormat="1" applyFont="1" applyFill="1" applyBorder="1" applyAlignment="1">
      <alignment horizontal="center" vertical="top"/>
    </xf>
    <xf numFmtId="0" fontId="11" fillId="29" borderId="9" xfId="0" applyFont="1" applyFill="1" applyBorder="1" applyAlignment="1">
      <alignment horizontal="center" vertical="top" wrapText="1"/>
    </xf>
    <xf numFmtId="0" fontId="11" fillId="29" borderId="49" xfId="0" applyFont="1" applyFill="1" applyBorder="1" applyAlignment="1">
      <alignment horizontal="center" vertical="top" wrapText="1"/>
    </xf>
    <xf numFmtId="0" fontId="11" fillId="29" borderId="26" xfId="0" applyFont="1" applyFill="1" applyBorder="1" applyAlignment="1">
      <alignment horizontal="center" vertical="top" wrapText="1"/>
    </xf>
    <xf numFmtId="0" fontId="31" fillId="0" borderId="2" xfId="0" applyFont="1" applyBorder="1" applyAlignment="1">
      <alignment horizontal="center" vertical="top" wrapText="1"/>
    </xf>
    <xf numFmtId="0" fontId="31" fillId="0" borderId="12" xfId="0" applyFont="1" applyBorder="1" applyAlignment="1">
      <alignment horizontal="center" vertical="top" wrapText="1"/>
    </xf>
    <xf numFmtId="0" fontId="31" fillId="0" borderId="11" xfId="0" applyFont="1" applyBorder="1" applyAlignment="1">
      <alignment horizontal="center" vertical="top" wrapText="1"/>
    </xf>
    <xf numFmtId="165" fontId="11" fillId="29" borderId="2" xfId="0" applyNumberFormat="1" applyFont="1" applyFill="1" applyBorder="1" applyAlignment="1">
      <alignment horizontal="center" vertical="top"/>
    </xf>
    <xf numFmtId="165" fontId="11" fillId="29" borderId="44" xfId="0" applyNumberFormat="1" applyFont="1" applyFill="1" applyBorder="1" applyAlignment="1">
      <alignment horizontal="center"/>
    </xf>
    <xf numFmtId="165" fontId="31" fillId="0" borderId="2" xfId="0" applyNumberFormat="1" applyFont="1" applyBorder="1" applyAlignment="1">
      <alignment horizontal="center" vertical="top"/>
    </xf>
    <xf numFmtId="165" fontId="31" fillId="0" borderId="44" xfId="0" applyNumberFormat="1" applyFont="1" applyBorder="1" applyAlignment="1">
      <alignment horizontal="center"/>
    </xf>
    <xf numFmtId="165" fontId="11" fillId="29" borderId="2" xfId="0" applyNumberFormat="1" applyFont="1" applyFill="1" applyBorder="1" applyAlignment="1">
      <alignment horizontal="center" vertical="center"/>
    </xf>
    <xf numFmtId="0" fontId="11" fillId="18" borderId="16" xfId="0" applyFont="1" applyFill="1" applyBorder="1" applyAlignment="1">
      <alignment horizontal="center" vertical="center" wrapText="1"/>
    </xf>
    <xf numFmtId="164" fontId="73" fillId="4" borderId="26" xfId="2" applyNumberFormat="1" applyFont="1" applyFill="1" applyBorder="1" applyAlignment="1">
      <alignment horizontal="center" wrapText="1"/>
    </xf>
    <xf numFmtId="164" fontId="72" fillId="0" borderId="11" xfId="2" applyNumberFormat="1" applyFont="1" applyBorder="1" applyAlignment="1">
      <alignment horizontal="center" wrapText="1"/>
    </xf>
    <xf numFmtId="164" fontId="72" fillId="0" borderId="16" xfId="2" applyNumberFormat="1" applyFont="1" applyBorder="1" applyAlignment="1">
      <alignment horizontal="center" wrapText="1"/>
    </xf>
    <xf numFmtId="164" fontId="82" fillId="4" borderId="26" xfId="2" applyNumberFormat="1" applyFont="1" applyFill="1" applyBorder="1" applyAlignment="1">
      <alignment horizontal="center" wrapText="1"/>
    </xf>
    <xf numFmtId="165" fontId="74" fillId="4" borderId="26" xfId="3" applyNumberFormat="1" applyFont="1" applyFill="1" applyBorder="1" applyAlignment="1">
      <alignment wrapText="1"/>
    </xf>
    <xf numFmtId="165" fontId="74" fillId="4" borderId="26" xfId="3" applyNumberFormat="1" applyFont="1" applyFill="1" applyBorder="1" applyAlignment="1">
      <alignment horizontal="center" wrapText="1"/>
    </xf>
    <xf numFmtId="165" fontId="75" fillId="0" borderId="11" xfId="3" applyNumberFormat="1" applyFont="1" applyBorder="1" applyAlignment="1">
      <alignment wrapText="1"/>
    </xf>
    <xf numFmtId="165" fontId="75" fillId="0" borderId="11" xfId="3" applyNumberFormat="1" applyFont="1" applyBorder="1" applyAlignment="1">
      <alignment horizontal="center" wrapText="1"/>
    </xf>
    <xf numFmtId="3" fontId="77" fillId="29" borderId="44" xfId="0" applyNumberFormat="1" applyFont="1" applyFill="1" applyBorder="1"/>
    <xf numFmtId="3" fontId="78" fillId="0" borderId="44" xfId="0" applyNumberFormat="1" applyFont="1" applyBorder="1"/>
    <xf numFmtId="10" fontId="86" fillId="0" borderId="44" xfId="0" applyNumberFormat="1" applyFont="1" applyBorder="1"/>
    <xf numFmtId="0" fontId="78" fillId="0" borderId="44" xfId="0" applyFont="1" applyBorder="1"/>
    <xf numFmtId="3" fontId="78" fillId="32" borderId="44" xfId="0" applyNumberFormat="1" applyFont="1" applyFill="1" applyBorder="1"/>
    <xf numFmtId="164" fontId="30" fillId="0" borderId="2" xfId="2" applyNumberFormat="1" applyFont="1" applyBorder="1" applyAlignment="1">
      <alignment horizontal="right" vertical="center" wrapText="1"/>
    </xf>
    <xf numFmtId="0" fontId="22" fillId="0" borderId="0" xfId="0" applyFont="1" applyAlignment="1">
      <alignment horizontal="right"/>
    </xf>
    <xf numFmtId="0" fontId="78" fillId="0" borderId="11" xfId="0" applyFont="1" applyBorder="1"/>
    <xf numFmtId="0" fontId="30" fillId="0" borderId="0" xfId="0" applyFont="1" applyBorder="1" applyAlignment="1">
      <alignment horizontal="justify" vertical="center" wrapText="1"/>
    </xf>
    <xf numFmtId="0" fontId="30" fillId="0" borderId="0" xfId="0" applyFont="1" applyBorder="1" applyAlignment="1">
      <alignment horizontal="center" vertical="center" wrapText="1"/>
    </xf>
    <xf numFmtId="0" fontId="65" fillId="2" borderId="18" xfId="0" applyFont="1" applyFill="1" applyBorder="1" applyAlignment="1">
      <alignment horizontal="center" wrapText="1"/>
    </xf>
    <xf numFmtId="0" fontId="65" fillId="2" borderId="19" xfId="0" applyFont="1" applyFill="1" applyBorder="1" applyAlignment="1">
      <alignment horizontal="center" wrapText="1"/>
    </xf>
    <xf numFmtId="0" fontId="64" fillId="0" borderId="2" xfId="0" applyFont="1" applyBorder="1" applyAlignment="1">
      <alignment horizontal="center" wrapText="1"/>
    </xf>
    <xf numFmtId="0" fontId="64" fillId="0" borderId="21" xfId="0" applyFont="1" applyBorder="1" applyAlignment="1">
      <alignment horizontal="center" wrapText="1"/>
    </xf>
    <xf numFmtId="0" fontId="64" fillId="0" borderId="23" xfId="0" applyFont="1" applyBorder="1" applyAlignment="1">
      <alignment horizontal="center" wrapText="1"/>
    </xf>
    <xf numFmtId="0" fontId="64" fillId="0" borderId="24" xfId="0" applyFont="1" applyBorder="1" applyAlignment="1">
      <alignment horizontal="center" wrapText="1"/>
    </xf>
    <xf numFmtId="3" fontId="36" fillId="0" borderId="2" xfId="0" applyNumberFormat="1" applyFont="1" applyBorder="1" applyAlignment="1">
      <alignment horizontal="right" vertical="top"/>
    </xf>
    <xf numFmtId="0" fontId="36" fillId="0" borderId="2" xfId="0" applyFont="1" applyBorder="1" applyAlignment="1">
      <alignment horizontal="right" vertical="top"/>
    </xf>
    <xf numFmtId="3" fontId="78" fillId="0" borderId="53" xfId="0" applyNumberFormat="1" applyFont="1" applyBorder="1"/>
    <xf numFmtId="0" fontId="78" fillId="0" borderId="53" xfId="0" applyFont="1" applyBorder="1"/>
    <xf numFmtId="0" fontId="11" fillId="4" borderId="0" xfId="0" applyFont="1" applyFill="1" applyBorder="1" applyAlignment="1">
      <alignment vertical="center"/>
    </xf>
    <xf numFmtId="0" fontId="77" fillId="29" borderId="9" xfId="0" applyFont="1" applyFill="1" applyBorder="1"/>
    <xf numFmtId="3" fontId="78" fillId="0" borderId="2" xfId="0" applyNumberFormat="1" applyFont="1" applyBorder="1"/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11" fillId="4" borderId="14" xfId="0" applyFont="1" applyFill="1" applyBorder="1" applyAlignment="1">
      <alignment vertical="center"/>
    </xf>
    <xf numFmtId="0" fontId="77" fillId="29" borderId="2" xfId="0" applyFont="1" applyFill="1" applyBorder="1"/>
    <xf numFmtId="0" fontId="78" fillId="0" borderId="2" xfId="0" applyFont="1" applyBorder="1"/>
    <xf numFmtId="0" fontId="78" fillId="0" borderId="7" xfId="0" applyFont="1" applyBorder="1"/>
    <xf numFmtId="3" fontId="36" fillId="0" borderId="9" xfId="0" applyNumberFormat="1" applyFont="1" applyBorder="1" applyAlignment="1">
      <alignment horizontal="center" vertical="center" wrapText="1"/>
    </xf>
    <xf numFmtId="0" fontId="77" fillId="29" borderId="2" xfId="0" applyFont="1" applyFill="1" applyBorder="1" applyAlignment="1">
      <alignment horizontal="center"/>
    </xf>
    <xf numFmtId="3" fontId="36" fillId="0" borderId="11" xfId="0" applyNumberFormat="1" applyFont="1" applyBorder="1" applyAlignment="1">
      <alignment horizontal="center" vertical="center" wrapText="1"/>
    </xf>
    <xf numFmtId="0" fontId="77" fillId="29" borderId="9" xfId="0" applyFont="1" applyFill="1" applyBorder="1" applyAlignment="1">
      <alignment horizontal="center"/>
    </xf>
    <xf numFmtId="3" fontId="36" fillId="0" borderId="2" xfId="0" applyNumberFormat="1" applyFont="1" applyBorder="1" applyAlignment="1">
      <alignment horizontal="center" vertical="top"/>
    </xf>
    <xf numFmtId="0" fontId="36" fillId="0" borderId="2" xfId="0" applyFont="1" applyBorder="1" applyAlignment="1">
      <alignment horizontal="center" vertical="top"/>
    </xf>
    <xf numFmtId="3" fontId="1" fillId="29" borderId="2" xfId="0" applyNumberFormat="1" applyFont="1" applyFill="1" applyBorder="1" applyAlignment="1">
      <alignment horizontal="center" vertical="top"/>
    </xf>
    <xf numFmtId="10" fontId="37" fillId="0" borderId="2" xfId="0" applyNumberFormat="1" applyFont="1" applyBorder="1" applyAlignment="1">
      <alignment horizontal="center" vertical="top"/>
    </xf>
    <xf numFmtId="0" fontId="1" fillId="29" borderId="2" xfId="0" applyFont="1" applyFill="1" applyBorder="1" applyAlignment="1">
      <alignment horizontal="center" vertical="top"/>
    </xf>
    <xf numFmtId="0" fontId="18" fillId="2" borderId="18" xfId="0" applyFont="1" applyFill="1" applyBorder="1" applyAlignment="1">
      <alignment horizontal="center" wrapText="1"/>
    </xf>
    <xf numFmtId="0" fontId="18" fillId="2" borderId="19" xfId="0" applyFont="1" applyFill="1" applyBorder="1" applyAlignment="1">
      <alignment horizontal="center" wrapText="1"/>
    </xf>
    <xf numFmtId="0" fontId="1" fillId="28" borderId="7" xfId="0" applyFont="1" applyFill="1" applyBorder="1" applyAlignment="1">
      <alignment horizontal="right" vertical="top" wrapText="1"/>
    </xf>
    <xf numFmtId="0" fontId="1" fillId="28" borderId="7" xfId="0" applyFont="1" applyFill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top" wrapText="1"/>
    </xf>
    <xf numFmtId="3" fontId="36" fillId="0" borderId="11" xfId="0" applyNumberFormat="1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3" fontId="1" fillId="29" borderId="2" xfId="0" applyNumberFormat="1" applyFont="1" applyFill="1" applyBorder="1" applyAlignment="1">
      <alignment horizontal="center" vertical="center"/>
    </xf>
    <xf numFmtId="3" fontId="36" fillId="0" borderId="9" xfId="0" applyNumberFormat="1" applyFont="1" applyBorder="1" applyAlignment="1">
      <alignment horizontal="center" vertical="top" wrapText="1"/>
    </xf>
    <xf numFmtId="3" fontId="1" fillId="29" borderId="9" xfId="0" applyNumberFormat="1" applyFont="1" applyFill="1" applyBorder="1" applyAlignment="1">
      <alignment horizontal="center" vertical="top"/>
    </xf>
    <xf numFmtId="3" fontId="36" fillId="0" borderId="2" xfId="0" applyNumberFormat="1" applyFont="1" applyBorder="1" applyAlignment="1">
      <alignment horizontal="center" vertical="top" wrapText="1"/>
    </xf>
    <xf numFmtId="0" fontId="69" fillId="2" borderId="2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21" xfId="0" applyFont="1" applyFill="1" applyBorder="1" applyAlignment="1">
      <alignment horizontal="center" wrapText="1"/>
    </xf>
    <xf numFmtId="0" fontId="36" fillId="0" borderId="11" xfId="0" applyFont="1" applyBorder="1" applyAlignment="1">
      <alignment horizontal="center" vertical="top" wrapText="1"/>
    </xf>
    <xf numFmtId="0" fontId="1" fillId="29" borderId="11" xfId="0" applyFont="1" applyFill="1" applyBorder="1" applyAlignment="1">
      <alignment horizontal="center" vertical="top"/>
    </xf>
    <xf numFmtId="0" fontId="79" fillId="4" borderId="2" xfId="0" applyFont="1" applyFill="1" applyBorder="1" applyAlignment="1">
      <alignment horizontal="center" wrapText="1"/>
    </xf>
    <xf numFmtId="0" fontId="1" fillId="4" borderId="21" xfId="0" applyFont="1" applyFill="1" applyBorder="1" applyAlignment="1">
      <alignment horizontal="center" wrapText="1"/>
    </xf>
    <xf numFmtId="0" fontId="79" fillId="0" borderId="20" xfId="0" applyFont="1" applyFill="1" applyBorder="1" applyAlignment="1">
      <alignment wrapText="1"/>
    </xf>
    <xf numFmtId="0" fontId="1" fillId="35" borderId="2" xfId="0" applyFont="1" applyFill="1" applyBorder="1" applyAlignment="1">
      <alignment horizontal="center" vertical="top"/>
    </xf>
    <xf numFmtId="0" fontId="87" fillId="0" borderId="2" xfId="0" applyFont="1" applyBorder="1" applyAlignment="1">
      <alignment horizontal="center"/>
    </xf>
    <xf numFmtId="0" fontId="85" fillId="32" borderId="11" xfId="0" applyFont="1" applyFill="1" applyBorder="1" applyAlignment="1">
      <alignment horizontal="center" vertical="center"/>
    </xf>
    <xf numFmtId="0" fontId="84" fillId="36" borderId="11" xfId="0" applyFont="1" applyFill="1" applyBorder="1" applyAlignment="1">
      <alignment horizontal="center" vertical="center"/>
    </xf>
    <xf numFmtId="3" fontId="84" fillId="36" borderId="11" xfId="0" applyNumberFormat="1" applyFont="1" applyFill="1" applyBorder="1" applyAlignment="1">
      <alignment horizontal="center" vertical="center"/>
    </xf>
    <xf numFmtId="0" fontId="78" fillId="0" borderId="11" xfId="0" applyFont="1" applyBorder="1" applyAlignment="1">
      <alignment horizontal="center" vertical="center" wrapText="1"/>
    </xf>
    <xf numFmtId="0" fontId="78" fillId="32" borderId="11" xfId="0" applyFont="1" applyFill="1" applyBorder="1" applyAlignment="1">
      <alignment horizontal="center" wrapText="1"/>
    </xf>
    <xf numFmtId="0" fontId="77" fillId="34" borderId="11" xfId="0" applyFont="1" applyFill="1" applyBorder="1" applyAlignment="1">
      <alignment horizontal="center" vertical="center" wrapText="1"/>
    </xf>
    <xf numFmtId="3" fontId="77" fillId="34" borderId="11" xfId="0" applyNumberFormat="1" applyFont="1" applyFill="1" applyBorder="1" applyAlignment="1">
      <alignment horizontal="center" vertical="center" wrapText="1"/>
    </xf>
    <xf numFmtId="3" fontId="77" fillId="28" borderId="11" xfId="0" applyNumberFormat="1" applyFont="1" applyFill="1" applyBorder="1" applyAlignment="1">
      <alignment horizontal="center" wrapText="1"/>
    </xf>
    <xf numFmtId="0" fontId="31" fillId="32" borderId="2" xfId="0" applyFont="1" applyFill="1" applyBorder="1" applyAlignment="1">
      <alignment horizontal="center" vertical="center"/>
    </xf>
    <xf numFmtId="3" fontId="11" fillId="36" borderId="2" xfId="0" applyNumberFormat="1" applyFont="1" applyFill="1" applyBorder="1" applyAlignment="1">
      <alignment horizontal="center" vertical="center"/>
    </xf>
    <xf numFmtId="0" fontId="11" fillId="36" borderId="2" xfId="0" applyFont="1" applyFill="1" applyBorder="1" applyAlignment="1">
      <alignment horizontal="center" vertical="center"/>
    </xf>
    <xf numFmtId="3" fontId="11" fillId="28" borderId="2" xfId="0" applyNumberFormat="1" applyFont="1" applyFill="1" applyBorder="1" applyAlignment="1">
      <alignment horizontal="center" vertical="center"/>
    </xf>
    <xf numFmtId="3" fontId="11" fillId="36" borderId="2" xfId="0" applyNumberFormat="1" applyFont="1" applyFill="1" applyBorder="1" applyAlignment="1">
      <alignment horizontal="center" vertical="center" wrapText="1"/>
    </xf>
    <xf numFmtId="3" fontId="11" fillId="28" borderId="2" xfId="0" applyNumberFormat="1" applyFont="1" applyFill="1" applyBorder="1" applyAlignment="1">
      <alignment horizontal="center" vertical="center" wrapText="1"/>
    </xf>
    <xf numFmtId="0" fontId="11" fillId="36" borderId="9" xfId="0" applyFont="1" applyFill="1" applyBorder="1" applyAlignment="1">
      <alignment horizontal="center" vertical="center"/>
    </xf>
    <xf numFmtId="0" fontId="31" fillId="0" borderId="11" xfId="0" applyFont="1" applyBorder="1" applyAlignment="1">
      <alignment horizontal="center"/>
    </xf>
    <xf numFmtId="0" fontId="11" fillId="36" borderId="49" xfId="0" applyFont="1" applyFill="1" applyBorder="1" applyAlignment="1">
      <alignment horizontal="center" vertical="center"/>
    </xf>
    <xf numFmtId="0" fontId="11" fillId="34" borderId="26" xfId="0" applyFont="1" applyFill="1" applyBorder="1" applyAlignment="1">
      <alignment horizontal="center"/>
    </xf>
    <xf numFmtId="0" fontId="11" fillId="29" borderId="2" xfId="0" applyFont="1" applyFill="1" applyBorder="1" applyAlignment="1">
      <alignment horizontal="center" vertical="center" wrapText="1"/>
    </xf>
    <xf numFmtId="3" fontId="11" fillId="28" borderId="39" xfId="0" applyNumberFormat="1" applyFont="1" applyFill="1" applyBorder="1" applyAlignment="1">
      <alignment horizontal="center" vertical="center" wrapText="1"/>
    </xf>
    <xf numFmtId="0" fontId="11" fillId="28" borderId="2" xfId="0" applyFont="1" applyFill="1" applyBorder="1" applyAlignment="1">
      <alignment horizontal="center" vertical="center" wrapText="1"/>
    </xf>
    <xf numFmtId="0" fontId="31" fillId="32" borderId="2" xfId="0" applyFont="1" applyFill="1" applyBorder="1" applyAlignment="1">
      <alignment horizontal="center" vertical="center" wrapText="1"/>
    </xf>
    <xf numFmtId="0" fontId="11" fillId="29" borderId="2" xfId="0" applyFont="1" applyFill="1" applyBorder="1" applyAlignment="1">
      <alignment horizontal="center" vertical="center"/>
    </xf>
    <xf numFmtId="0" fontId="11" fillId="28" borderId="2" xfId="0" applyFont="1" applyFill="1" applyBorder="1" applyAlignment="1">
      <alignment horizontal="center" vertical="center"/>
    </xf>
    <xf numFmtId="0" fontId="88" fillId="0" borderId="0" xfId="0" applyFont="1"/>
    <xf numFmtId="0" fontId="89" fillId="32" borderId="0" xfId="0" applyFont="1" applyFill="1" applyAlignment="1">
      <alignment horizontal="right" vertical="top"/>
    </xf>
    <xf numFmtId="0" fontId="90" fillId="32" borderId="0" xfId="0" applyFont="1" applyFill="1" applyAlignment="1">
      <alignment horizontal="left" vertical="top"/>
    </xf>
    <xf numFmtId="0" fontId="11" fillId="28" borderId="7" xfId="0" applyFont="1" applyFill="1" applyBorder="1" applyAlignment="1">
      <alignment horizontal="right" vertical="center"/>
    </xf>
    <xf numFmtId="0" fontId="11" fillId="37" borderId="12" xfId="0" applyFont="1" applyFill="1" applyBorder="1" applyAlignment="1">
      <alignment vertical="center"/>
    </xf>
    <xf numFmtId="3" fontId="11" fillId="29" borderId="11" xfId="0" applyNumberFormat="1" applyFont="1" applyFill="1" applyBorder="1" applyAlignment="1">
      <alignment horizontal="right" vertical="center"/>
    </xf>
    <xf numFmtId="0" fontId="31" fillId="0" borderId="12" xfId="0" applyFont="1" applyBorder="1" applyAlignment="1">
      <alignment vertical="center"/>
    </xf>
    <xf numFmtId="3" fontId="89" fillId="0" borderId="11" xfId="0" applyNumberFormat="1" applyFont="1" applyBorder="1"/>
    <xf numFmtId="3" fontId="11" fillId="29" borderId="54" xfId="0" applyNumberFormat="1" applyFont="1" applyFill="1" applyBorder="1" applyAlignment="1">
      <alignment horizontal="right" vertical="center"/>
    </xf>
    <xf numFmtId="0" fontId="11" fillId="37" borderId="2" xfId="0" applyFont="1" applyFill="1" applyBorder="1" applyAlignment="1">
      <alignment vertical="center"/>
    </xf>
    <xf numFmtId="3" fontId="11" fillId="29" borderId="16" xfId="0" applyNumberFormat="1" applyFont="1" applyFill="1" applyBorder="1" applyAlignment="1">
      <alignment horizontal="right" vertical="center"/>
    </xf>
    <xf numFmtId="0" fontId="89" fillId="32" borderId="11" xfId="0" applyFont="1" applyFill="1" applyBorder="1" applyAlignment="1">
      <alignment horizontal="right" vertical="top"/>
    </xf>
    <xf numFmtId="0" fontId="89" fillId="0" borderId="11" xfId="0" applyFont="1" applyBorder="1"/>
    <xf numFmtId="165" fontId="38" fillId="29" borderId="9" xfId="0" applyNumberFormat="1" applyFont="1" applyFill="1" applyBorder="1" applyAlignment="1">
      <alignment horizontal="right" vertical="center"/>
    </xf>
    <xf numFmtId="165" fontId="33" fillId="0" borderId="9" xfId="0" applyNumberFormat="1" applyFont="1" applyBorder="1" applyAlignment="1">
      <alignment horizontal="right" vertical="center"/>
    </xf>
    <xf numFmtId="0" fontId="77" fillId="2" borderId="12" xfId="0" applyFont="1" applyFill="1" applyBorder="1" applyAlignment="1">
      <alignment horizontal="right" vertical="top"/>
    </xf>
    <xf numFmtId="164" fontId="77" fillId="4" borderId="12" xfId="2" applyNumberFormat="1" applyFont="1" applyFill="1" applyBorder="1" applyAlignment="1">
      <alignment horizontal="right" vertical="top" wrapText="1"/>
    </xf>
    <xf numFmtId="164" fontId="77" fillId="26" borderId="12" xfId="2" applyNumberFormat="1" applyFont="1" applyFill="1" applyBorder="1" applyAlignment="1">
      <alignment horizontal="right" vertical="top" wrapText="1"/>
    </xf>
    <xf numFmtId="164" fontId="78" fillId="0" borderId="12" xfId="2" applyNumberFormat="1" applyFont="1" applyBorder="1" applyAlignment="1">
      <alignment horizontal="right" vertical="top" wrapText="1"/>
    </xf>
    <xf numFmtId="0" fontId="77" fillId="2" borderId="15" xfId="0" applyFont="1" applyFill="1" applyBorder="1" applyAlignment="1">
      <alignment horizontal="right" vertical="top"/>
    </xf>
    <xf numFmtId="164" fontId="77" fillId="4" borderId="15" xfId="2" applyNumberFormat="1" applyFont="1" applyFill="1" applyBorder="1" applyAlignment="1">
      <alignment horizontal="right" vertical="top" wrapText="1"/>
    </xf>
    <xf numFmtId="164" fontId="77" fillId="26" borderId="15" xfId="2" applyNumberFormat="1" applyFont="1" applyFill="1" applyBorder="1" applyAlignment="1">
      <alignment horizontal="right" vertical="top" wrapText="1"/>
    </xf>
    <xf numFmtId="164" fontId="78" fillId="0" borderId="15" xfId="2" applyNumberFormat="1" applyFont="1" applyBorder="1" applyAlignment="1">
      <alignment horizontal="right" vertical="top" wrapText="1"/>
    </xf>
    <xf numFmtId="0" fontId="77" fillId="2" borderId="2" xfId="0" applyFont="1" applyFill="1" applyBorder="1" applyAlignment="1">
      <alignment horizontal="center" vertical="top" wrapText="1"/>
    </xf>
    <xf numFmtId="0" fontId="77" fillId="2" borderId="2" xfId="0" applyFont="1" applyFill="1" applyBorder="1" applyAlignment="1">
      <alignment horizontal="center" vertical="top"/>
    </xf>
    <xf numFmtId="0" fontId="77" fillId="2" borderId="12" xfId="0" applyFont="1" applyFill="1" applyBorder="1" applyAlignment="1">
      <alignment horizontal="center" vertical="top"/>
    </xf>
    <xf numFmtId="164" fontId="77" fillId="4" borderId="2" xfId="2" applyNumberFormat="1" applyFont="1" applyFill="1" applyBorder="1" applyAlignment="1">
      <alignment horizontal="center" vertical="top" wrapText="1"/>
    </xf>
    <xf numFmtId="164" fontId="77" fillId="4" borderId="12" xfId="2" applyNumberFormat="1" applyFont="1" applyFill="1" applyBorder="1" applyAlignment="1">
      <alignment horizontal="center" vertical="top" wrapText="1"/>
    </xf>
    <xf numFmtId="164" fontId="77" fillId="26" borderId="2" xfId="2" applyNumberFormat="1" applyFont="1" applyFill="1" applyBorder="1" applyAlignment="1">
      <alignment horizontal="center" vertical="top" wrapText="1"/>
    </xf>
    <xf numFmtId="164" fontId="77" fillId="26" borderId="12" xfId="2" applyNumberFormat="1" applyFont="1" applyFill="1" applyBorder="1" applyAlignment="1">
      <alignment horizontal="center" vertical="top" wrapText="1"/>
    </xf>
    <xf numFmtId="164" fontId="78" fillId="0" borderId="2" xfId="2" applyNumberFormat="1" applyFont="1" applyBorder="1" applyAlignment="1">
      <alignment horizontal="center" vertical="top" wrapText="1"/>
    </xf>
    <xf numFmtId="164" fontId="78" fillId="0" borderId="12" xfId="2" applyNumberFormat="1" applyFont="1" applyBorder="1" applyAlignment="1">
      <alignment horizontal="center" vertical="top" wrapText="1"/>
    </xf>
    <xf numFmtId="0" fontId="77" fillId="2" borderId="2" xfId="0" applyFont="1" applyFill="1" applyBorder="1" applyAlignment="1">
      <alignment horizontal="left" vertical="top"/>
    </xf>
    <xf numFmtId="0" fontId="77" fillId="4" borderId="2" xfId="0" applyFont="1" applyFill="1" applyBorder="1" applyAlignment="1">
      <alignment horizontal="left" vertical="top"/>
    </xf>
    <xf numFmtId="0" fontId="78" fillId="0" borderId="2" xfId="0" applyFont="1" applyBorder="1" applyAlignment="1">
      <alignment horizontal="left" vertical="top" indent="1"/>
    </xf>
    <xf numFmtId="0" fontId="77" fillId="26" borderId="2" xfId="0" applyFont="1" applyFill="1" applyBorder="1" applyAlignment="1">
      <alignment horizontal="left" vertical="top" wrapText="1"/>
    </xf>
    <xf numFmtId="0" fontId="77" fillId="26" borderId="12" xfId="0" applyFont="1" applyFill="1" applyBorder="1" applyAlignment="1">
      <alignment horizontal="left" vertical="top" wrapText="1"/>
    </xf>
    <xf numFmtId="166" fontId="31" fillId="0" borderId="2" xfId="2" applyNumberFormat="1" applyFont="1" applyFill="1" applyBorder="1" applyAlignment="1">
      <alignment horizontal="center" vertical="top" wrapText="1"/>
    </xf>
    <xf numFmtId="164" fontId="69" fillId="12" borderId="45" xfId="2" applyNumberFormat="1" applyFont="1" applyFill="1" applyBorder="1" applyAlignment="1">
      <alignment horizontal="center" wrapText="1"/>
    </xf>
    <xf numFmtId="164" fontId="28" fillId="0" borderId="2" xfId="2" applyNumberFormat="1" applyFont="1" applyFill="1" applyBorder="1" applyAlignment="1">
      <alignment horizontal="center" vertical="center" wrapText="1"/>
    </xf>
    <xf numFmtId="164" fontId="28" fillId="0" borderId="2" xfId="2" applyNumberFormat="1" applyFont="1" applyFill="1" applyBorder="1" applyAlignment="1">
      <alignment horizontal="center" vertical="top" wrapText="1"/>
    </xf>
    <xf numFmtId="164" fontId="31" fillId="24" borderId="2" xfId="2" applyNumberFormat="1" applyFont="1" applyFill="1" applyBorder="1" applyAlignment="1">
      <alignment horizontal="center" vertical="center" wrapText="1"/>
    </xf>
    <xf numFmtId="164" fontId="69" fillId="12" borderId="45" xfId="2" applyNumberFormat="1" applyFont="1" applyFill="1" applyBorder="1" applyAlignment="1">
      <alignment wrapText="1"/>
    </xf>
    <xf numFmtId="3" fontId="51" fillId="0" borderId="2" xfId="0" applyNumberFormat="1" applyFont="1" applyFill="1" applyBorder="1" applyAlignment="1">
      <alignment horizontal="center" wrapText="1"/>
    </xf>
    <xf numFmtId="3" fontId="31" fillId="0" borderId="11" xfId="0" applyNumberFormat="1" applyFont="1" applyBorder="1" applyAlignment="1">
      <alignment horizontal="center" vertical="top" wrapText="1"/>
    </xf>
    <xf numFmtId="0" fontId="91" fillId="4" borderId="22" xfId="0" applyFont="1" applyFill="1" applyBorder="1" applyAlignment="1">
      <alignment wrapText="1"/>
    </xf>
    <xf numFmtId="0" fontId="1" fillId="4" borderId="23" xfId="0" applyFont="1" applyFill="1" applyBorder="1" applyAlignment="1">
      <alignment horizontal="center" wrapText="1"/>
    </xf>
    <xf numFmtId="0" fontId="1" fillId="4" borderId="24" xfId="0" applyFont="1" applyFill="1" applyBorder="1" applyAlignment="1">
      <alignment horizontal="center" wrapText="1"/>
    </xf>
    <xf numFmtId="3" fontId="1" fillId="35" borderId="2" xfId="0" applyNumberFormat="1" applyFont="1" applyFill="1" applyBorder="1" applyAlignment="1">
      <alignment horizontal="center" vertical="top"/>
    </xf>
    <xf numFmtId="0" fontId="5" fillId="4" borderId="2" xfId="0" applyFont="1" applyFill="1" applyBorder="1" applyAlignment="1">
      <alignment wrapText="1"/>
    </xf>
    <xf numFmtId="0" fontId="81" fillId="4" borderId="2" xfId="0" applyFont="1" applyFill="1" applyBorder="1" applyAlignment="1">
      <alignment wrapText="1"/>
    </xf>
    <xf numFmtId="0" fontId="67" fillId="0" borderId="2" xfId="0" applyFont="1" applyBorder="1" applyAlignment="1">
      <alignment wrapText="1"/>
    </xf>
    <xf numFmtId="0" fontId="66" fillId="0" borderId="42" xfId="0" applyFont="1" applyBorder="1" applyAlignment="1">
      <alignment horizontal="center" wrapText="1"/>
    </xf>
    <xf numFmtId="0" fontId="66" fillId="0" borderId="5" xfId="0" applyFont="1" applyBorder="1" applyAlignment="1">
      <alignment horizontal="center" wrapText="1"/>
    </xf>
    <xf numFmtId="3" fontId="7" fillId="0" borderId="2" xfId="0" applyNumberFormat="1" applyFont="1" applyBorder="1" applyAlignment="1">
      <alignment horizontal="center" wrapText="1"/>
    </xf>
    <xf numFmtId="3" fontId="7" fillId="0" borderId="7" xfId="0" applyNumberFormat="1" applyFont="1" applyBorder="1" applyAlignment="1">
      <alignment horizontal="center" wrapText="1"/>
    </xf>
    <xf numFmtId="3" fontId="7" fillId="0" borderId="9" xfId="0" applyNumberFormat="1" applyFont="1" applyBorder="1" applyAlignment="1">
      <alignment horizontal="center" wrapText="1"/>
    </xf>
    <xf numFmtId="0" fontId="5" fillId="4" borderId="15" xfId="0" applyFont="1" applyFill="1" applyBorder="1" applyAlignment="1">
      <alignment wrapText="1"/>
    </xf>
    <xf numFmtId="0" fontId="5" fillId="4" borderId="39" xfId="0" applyFont="1" applyFill="1" applyBorder="1" applyAlignment="1">
      <alignment wrapText="1"/>
    </xf>
    <xf numFmtId="0" fontId="11" fillId="28" borderId="2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left" wrapText="1"/>
    </xf>
    <xf numFmtId="0" fontId="5" fillId="13" borderId="13" xfId="0" applyFont="1" applyFill="1" applyBorder="1" applyAlignment="1">
      <alignment horizontal="left" wrapText="1"/>
    </xf>
    <xf numFmtId="0" fontId="5" fillId="13" borderId="14" xfId="0" applyFont="1" applyFill="1" applyBorder="1" applyAlignment="1">
      <alignment horizontal="left" wrapText="1"/>
    </xf>
    <xf numFmtId="0" fontId="69" fillId="2" borderId="33" xfId="0" applyFont="1" applyFill="1" applyBorder="1" applyAlignment="1">
      <alignment horizontal="center" wrapText="1"/>
    </xf>
    <xf numFmtId="0" fontId="69" fillId="2" borderId="48" xfId="0" applyFont="1" applyFill="1" applyBorder="1" applyAlignment="1">
      <alignment horizontal="center" wrapText="1"/>
    </xf>
    <xf numFmtId="0" fontId="73" fillId="25" borderId="11" xfId="0" applyFont="1" applyFill="1" applyBorder="1" applyAlignment="1">
      <alignment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wrapText="1"/>
    </xf>
    <xf numFmtId="0" fontId="5" fillId="2" borderId="38" xfId="0" applyFont="1" applyFill="1" applyBorder="1" applyAlignment="1">
      <alignment horizontal="center" wrapText="1"/>
    </xf>
    <xf numFmtId="0" fontId="5" fillId="2" borderId="39" xfId="0" applyFont="1" applyFill="1" applyBorder="1" applyAlignment="1">
      <alignment horizontal="center" wrapText="1"/>
    </xf>
    <xf numFmtId="165" fontId="11" fillId="2" borderId="12" xfId="0" applyNumberFormat="1" applyFont="1" applyFill="1" applyBorder="1" applyAlignment="1">
      <alignment horizontal="center" vertical="center" wrapText="1"/>
    </xf>
    <xf numFmtId="165" fontId="11" fillId="2" borderId="13" xfId="0" applyNumberFormat="1" applyFont="1" applyFill="1" applyBorder="1" applyAlignment="1">
      <alignment horizontal="center" vertical="center" wrapText="1"/>
    </xf>
    <xf numFmtId="0" fontId="5" fillId="15" borderId="15" xfId="0" applyFont="1" applyFill="1" applyBorder="1" applyAlignment="1">
      <alignment wrapText="1"/>
    </xf>
    <xf numFmtId="0" fontId="5" fillId="15" borderId="38" xfId="0" applyFont="1" applyFill="1" applyBorder="1" applyAlignment="1">
      <alignment wrapText="1"/>
    </xf>
    <xf numFmtId="0" fontId="5" fillId="15" borderId="39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justify" vertical="center" wrapText="1"/>
    </xf>
    <xf numFmtId="0" fontId="1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justify" vertical="center"/>
    </xf>
    <xf numFmtId="0" fontId="69" fillId="2" borderId="12" xfId="0" applyFont="1" applyFill="1" applyBorder="1" applyAlignment="1">
      <alignment horizontal="center" wrapText="1"/>
    </xf>
    <xf numFmtId="0" fontId="69" fillId="2" borderId="13" xfId="0" applyFont="1" applyFill="1" applyBorder="1" applyAlignment="1">
      <alignment horizontal="center" wrapText="1"/>
    </xf>
    <xf numFmtId="0" fontId="11" fillId="28" borderId="7" xfId="0" applyFont="1" applyFill="1" applyBorder="1" applyAlignment="1">
      <alignment horizontal="left" vertical="top"/>
    </xf>
    <xf numFmtId="0" fontId="11" fillId="28" borderId="9" xfId="0" applyFont="1" applyFill="1" applyBorder="1" applyAlignment="1">
      <alignment horizontal="left" vertical="top"/>
    </xf>
    <xf numFmtId="0" fontId="11" fillId="0" borderId="7" xfId="0" applyFont="1" applyBorder="1" applyAlignment="1">
      <alignment horizontal="left" vertical="top"/>
    </xf>
    <xf numFmtId="0" fontId="11" fillId="0" borderId="52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11" fillId="28" borderId="50" xfId="0" applyFont="1" applyFill="1" applyBorder="1" applyAlignment="1">
      <alignment horizontal="left" vertical="center"/>
    </xf>
    <xf numFmtId="0" fontId="11" fillId="28" borderId="49" xfId="0" applyFont="1" applyFill="1" applyBorder="1" applyAlignment="1">
      <alignment horizontal="left" vertical="center"/>
    </xf>
    <xf numFmtId="0" fontId="11" fillId="28" borderId="15" xfId="0" applyFont="1" applyFill="1" applyBorder="1" applyAlignment="1">
      <alignment horizontal="center" vertical="center"/>
    </xf>
    <xf numFmtId="0" fontId="11" fillId="28" borderId="38" xfId="0" applyFont="1" applyFill="1" applyBorder="1" applyAlignment="1">
      <alignment horizontal="center" vertical="center"/>
    </xf>
    <xf numFmtId="0" fontId="11" fillId="28" borderId="39" xfId="0" applyFont="1" applyFill="1" applyBorder="1" applyAlignment="1">
      <alignment horizontal="center" vertical="center"/>
    </xf>
    <xf numFmtId="0" fontId="11" fillId="28" borderId="7" xfId="0" applyFont="1" applyFill="1" applyBorder="1" applyAlignment="1">
      <alignment horizontal="left" vertical="center"/>
    </xf>
    <xf numFmtId="0" fontId="11" fillId="28" borderId="9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justify" vertical="center" wrapText="1"/>
    </xf>
    <xf numFmtId="0" fontId="11" fillId="18" borderId="2" xfId="0" applyFont="1" applyFill="1" applyBorder="1" applyAlignment="1">
      <alignment horizontal="center" vertical="center" wrapText="1"/>
    </xf>
    <xf numFmtId="0" fontId="11" fillId="18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1" fillId="18" borderId="11" xfId="0" applyFont="1" applyFill="1" applyBorder="1" applyAlignment="1">
      <alignment horizontal="center" vertical="center" wrapText="1"/>
    </xf>
    <xf numFmtId="165" fontId="37" fillId="3" borderId="12" xfId="3" applyNumberFormat="1" applyFont="1" applyFill="1" applyBorder="1" applyAlignment="1">
      <alignment horizontal="center" wrapText="1"/>
    </xf>
    <xf numFmtId="165" fontId="37" fillId="3" borderId="13" xfId="3" applyNumberFormat="1" applyFont="1" applyFill="1" applyBorder="1" applyAlignment="1">
      <alignment horizontal="center" wrapText="1"/>
    </xf>
    <xf numFmtId="165" fontId="37" fillId="3" borderId="48" xfId="3" applyNumberFormat="1" applyFont="1" applyFill="1" applyBorder="1" applyAlignment="1">
      <alignment horizontal="center" wrapText="1"/>
    </xf>
    <xf numFmtId="0" fontId="11" fillId="18" borderId="2" xfId="0" applyFont="1" applyFill="1" applyBorder="1" applyAlignment="1">
      <alignment horizontal="justify" vertical="center" wrapText="1"/>
    </xf>
    <xf numFmtId="0" fontId="11" fillId="2" borderId="11" xfId="0" applyFont="1" applyFill="1" applyBorder="1" applyAlignment="1">
      <alignment horizontal="center" vertical="center" wrapText="1"/>
    </xf>
    <xf numFmtId="165" fontId="11" fillId="2" borderId="11" xfId="0" applyNumberFormat="1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center" vertical="center"/>
    </xf>
    <xf numFmtId="165" fontId="59" fillId="4" borderId="12" xfId="3" applyNumberFormat="1" applyFont="1" applyFill="1" applyBorder="1" applyAlignment="1">
      <alignment horizontal="center" wrapText="1"/>
    </xf>
    <xf numFmtId="165" fontId="59" fillId="4" borderId="13" xfId="3" applyNumberFormat="1" applyFont="1" applyFill="1" applyBorder="1" applyAlignment="1">
      <alignment horizontal="center" wrapText="1"/>
    </xf>
    <xf numFmtId="165" fontId="59" fillId="4" borderId="48" xfId="3" applyNumberFormat="1" applyFont="1" applyFill="1" applyBorder="1" applyAlignment="1">
      <alignment horizontal="center" wrapText="1"/>
    </xf>
    <xf numFmtId="0" fontId="71" fillId="2" borderId="27" xfId="0" applyFont="1" applyFill="1" applyBorder="1" applyAlignment="1">
      <alignment wrapText="1"/>
    </xf>
    <xf numFmtId="0" fontId="71" fillId="2" borderId="5" xfId="0" applyFont="1" applyFill="1" applyBorder="1" applyAlignment="1">
      <alignment wrapText="1"/>
    </xf>
    <xf numFmtId="0" fontId="71" fillId="2" borderId="28" xfId="0" applyFont="1" applyFill="1" applyBorder="1" applyAlignment="1">
      <alignment wrapText="1"/>
    </xf>
    <xf numFmtId="0" fontId="71" fillId="2" borderId="29" xfId="0" applyFont="1" applyFill="1" applyBorder="1" applyAlignment="1">
      <alignment wrapText="1"/>
    </xf>
    <xf numFmtId="0" fontId="71" fillId="2" borderId="4" xfId="0" applyFont="1" applyFill="1" applyBorder="1" applyAlignment="1">
      <alignment wrapText="1"/>
    </xf>
    <xf numFmtId="0" fontId="6" fillId="2" borderId="27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6" fillId="2" borderId="28" xfId="0" applyFont="1" applyFill="1" applyBorder="1" applyAlignment="1">
      <alignment horizontal="center" wrapText="1"/>
    </xf>
    <xf numFmtId="0" fontId="6" fillId="2" borderId="29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71" fillId="2" borderId="3" xfId="0" applyFont="1" applyFill="1" applyBorder="1" applyAlignment="1">
      <alignment wrapText="1"/>
    </xf>
    <xf numFmtId="0" fontId="6" fillId="2" borderId="3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left" vertical="top"/>
    </xf>
    <xf numFmtId="0" fontId="11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vertical="center" wrapText="1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18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BACFB57A-3421-44E1-9AA1-EBDFFD6CEDBD}" userId="S::urn:spo:anon#d3e77eda90994efc4ec7fbee8a3876c48f94d4525e355d8d050ef544197f7d22::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33" dT="2024-02-02T12:47:31.18" personId="{BACFB57A-3421-44E1-9AA1-EBDFFD6CEDBD}" id="{1D6DF632-5AF2-48EE-BD9B-7087CFD0FB46}">
    <text>Replaced by 1.3.7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4" dT="2024-02-02T12:51:19.31" personId="{BACFB57A-3421-44E1-9AA1-EBDFFD6CEDBD}" id="{C71EB748-AD9C-49D0-BFAC-01FCB42BC82C}">
    <text>Removed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354"/>
  <sheetViews>
    <sheetView showGridLines="0" topLeftCell="A224" zoomScale="89" zoomScaleNormal="100" workbookViewId="0">
      <selection activeCell="K253" sqref="K253"/>
    </sheetView>
  </sheetViews>
  <sheetFormatPr defaultColWidth="8.7265625" defaultRowHeight="15.5"/>
  <cols>
    <col min="1" max="1" width="7.54296875" style="28" customWidth="1"/>
    <col min="2" max="2" width="8.54296875" style="28" customWidth="1"/>
    <col min="3" max="3" width="9.81640625" style="28" customWidth="1"/>
    <col min="4" max="4" width="47.26953125" style="28" customWidth="1"/>
    <col min="5" max="16384" width="8.7265625" style="28"/>
  </cols>
  <sheetData>
    <row r="3" spans="2:4">
      <c r="B3" s="314" t="s">
        <v>0</v>
      </c>
    </row>
    <row r="5" spans="2:4">
      <c r="B5" s="315" t="s">
        <v>1</v>
      </c>
    </row>
    <row r="6" spans="2:4">
      <c r="C6" s="56" t="str">
        <f>OVERVIEW!$B$4</f>
        <v>Overview 1: Number of schools by level of education</v>
      </c>
    </row>
    <row r="7" spans="2:4">
      <c r="B7" s="315"/>
      <c r="C7" s="56" t="str">
        <f>OVERVIEW!$B$16</f>
        <v>Overview 2: Number of classrooms in use </v>
      </c>
    </row>
    <row r="8" spans="2:4">
      <c r="B8" s="315"/>
      <c r="C8" s="56" t="str">
        <f>OVERVIEW!$B$27</f>
        <v>Overview 3: Number of learners</v>
      </c>
    </row>
    <row r="9" spans="2:4">
      <c r="B9" s="315"/>
      <c r="C9" s="56" t="str">
        <f>OVERVIEW!$B$51</f>
        <v>Overview 4: Number of teaching and administrative staff </v>
      </c>
    </row>
    <row r="10" spans="2:4">
      <c r="B10" s="315"/>
    </row>
    <row r="11" spans="2:4">
      <c r="B11" s="316" t="s">
        <v>2</v>
      </c>
    </row>
    <row r="12" spans="2:4">
      <c r="C12" s="28" t="s">
        <v>3</v>
      </c>
    </row>
    <row r="13" spans="2:4">
      <c r="D13" s="316" t="s">
        <v>4</v>
      </c>
    </row>
    <row r="14" spans="2:4">
      <c r="D14" s="316" t="s">
        <v>5</v>
      </c>
    </row>
    <row r="15" spans="2:4">
      <c r="D15" s="316" t="s">
        <v>6</v>
      </c>
    </row>
    <row r="16" spans="2:4">
      <c r="D16" s="316" t="s">
        <v>7</v>
      </c>
    </row>
    <row r="17" spans="3:10">
      <c r="D17" s="316" t="s">
        <v>8</v>
      </c>
    </row>
    <row r="18" spans="3:10">
      <c r="D18" s="316" t="s">
        <v>9</v>
      </c>
    </row>
    <row r="19" spans="3:10">
      <c r="C19" s="28" t="s">
        <v>10</v>
      </c>
    </row>
    <row r="20" spans="3:10">
      <c r="D20" s="316" t="s">
        <v>11</v>
      </c>
    </row>
    <row r="21" spans="3:10">
      <c r="D21" s="316" t="s">
        <v>12</v>
      </c>
    </row>
    <row r="22" spans="3:10">
      <c r="D22" s="316" t="s">
        <v>13</v>
      </c>
    </row>
    <row r="23" spans="3:10">
      <c r="D23" s="316" t="s">
        <v>14</v>
      </c>
    </row>
    <row r="24" spans="3:10">
      <c r="D24" s="316" t="s">
        <v>15</v>
      </c>
    </row>
    <row r="25" spans="3:10">
      <c r="D25" s="316" t="s">
        <v>16</v>
      </c>
    </row>
    <row r="26" spans="3:10">
      <c r="C26" s="28" t="s">
        <v>17</v>
      </c>
      <c r="J26" s="28" t="s">
        <v>704</v>
      </c>
    </row>
    <row r="27" spans="3:10">
      <c r="D27" s="316" t="s">
        <v>18</v>
      </c>
    </row>
    <row r="28" spans="3:10">
      <c r="D28" s="316" t="s">
        <v>19</v>
      </c>
    </row>
    <row r="29" spans="3:10">
      <c r="D29" s="316" t="s">
        <v>20</v>
      </c>
    </row>
    <row r="30" spans="3:10">
      <c r="D30" s="316" t="s">
        <v>21</v>
      </c>
    </row>
    <row r="31" spans="3:10">
      <c r="D31" s="316" t="s">
        <v>22</v>
      </c>
    </row>
    <row r="32" spans="3:10">
      <c r="D32" s="316" t="s">
        <v>1657</v>
      </c>
    </row>
    <row r="33" spans="3:7">
      <c r="D33" s="316" t="s">
        <v>1659</v>
      </c>
      <c r="G33" s="28" t="s">
        <v>704</v>
      </c>
    </row>
    <row r="34" spans="3:7">
      <c r="C34" s="28" t="s">
        <v>23</v>
      </c>
    </row>
    <row r="35" spans="3:7">
      <c r="D35" s="316" t="s">
        <v>24</v>
      </c>
    </row>
    <row r="36" spans="3:7">
      <c r="D36" s="316" t="s">
        <v>25</v>
      </c>
    </row>
    <row r="37" spans="3:7">
      <c r="D37" s="316" t="s">
        <v>26</v>
      </c>
    </row>
    <row r="38" spans="3:7">
      <c r="D38" s="316" t="s">
        <v>27</v>
      </c>
    </row>
    <row r="39" spans="3:7">
      <c r="D39" s="316" t="s">
        <v>28</v>
      </c>
    </row>
    <row r="40" spans="3:7">
      <c r="D40" s="316" t="s">
        <v>29</v>
      </c>
    </row>
    <row r="41" spans="3:7">
      <c r="D41" s="316" t="s">
        <v>30</v>
      </c>
    </row>
    <row r="42" spans="3:7">
      <c r="D42" s="316" t="s">
        <v>31</v>
      </c>
    </row>
    <row r="43" spans="3:7">
      <c r="D43" s="316" t="s">
        <v>32</v>
      </c>
    </row>
    <row r="44" spans="3:7">
      <c r="C44" s="28" t="s">
        <v>33</v>
      </c>
    </row>
    <row r="45" spans="3:7">
      <c r="D45" s="316" t="s">
        <v>34</v>
      </c>
    </row>
    <row r="46" spans="3:7">
      <c r="D46" s="316" t="s">
        <v>35</v>
      </c>
    </row>
    <row r="47" spans="3:7">
      <c r="D47" s="316" t="s">
        <v>36</v>
      </c>
    </row>
    <row r="48" spans="3:7">
      <c r="D48" s="316" t="s">
        <v>37</v>
      </c>
    </row>
    <row r="49" spans="2:4">
      <c r="D49" s="316" t="s">
        <v>38</v>
      </c>
    </row>
    <row r="50" spans="2:4">
      <c r="D50" s="316" t="s">
        <v>39</v>
      </c>
    </row>
    <row r="51" spans="2:4">
      <c r="C51" s="268" t="s">
        <v>40</v>
      </c>
    </row>
    <row r="52" spans="2:4">
      <c r="C52" s="268"/>
      <c r="D52" s="316" t="s">
        <v>41</v>
      </c>
    </row>
    <row r="53" spans="2:4">
      <c r="C53" s="268"/>
      <c r="D53" s="316" t="s">
        <v>42</v>
      </c>
    </row>
    <row r="54" spans="2:4">
      <c r="B54" s="316" t="s">
        <v>43</v>
      </c>
    </row>
    <row r="55" spans="2:4">
      <c r="C55" s="28" t="s">
        <v>44</v>
      </c>
    </row>
    <row r="56" spans="2:4">
      <c r="D56" s="316" t="s">
        <v>45</v>
      </c>
    </row>
    <row r="57" spans="2:4">
      <c r="D57" s="316" t="str">
        <f>LEARNERS!$B$24</f>
        <v>Table 2.1.2: Number of children in Early Childhood Developments (ECDs)</v>
      </c>
    </row>
    <row r="58" spans="2:4">
      <c r="D58" s="316" t="s">
        <v>46</v>
      </c>
    </row>
    <row r="59" spans="2:4">
      <c r="D59" s="316" t="s">
        <v>47</v>
      </c>
    </row>
    <row r="60" spans="2:4">
      <c r="D60" s="316" t="s">
        <v>48</v>
      </c>
    </row>
    <row r="61" spans="2:4">
      <c r="D61" s="316" t="s">
        <v>49</v>
      </c>
    </row>
    <row r="62" spans="2:4">
      <c r="D62" s="316" t="s">
        <v>50</v>
      </c>
    </row>
    <row r="63" spans="2:4">
      <c r="D63" s="316" t="s">
        <v>51</v>
      </c>
    </row>
    <row r="64" spans="2:4">
      <c r="D64" s="316" t="s">
        <v>52</v>
      </c>
    </row>
    <row r="65" spans="3:4">
      <c r="D65" s="316" t="s">
        <v>53</v>
      </c>
    </row>
    <row r="66" spans="3:4">
      <c r="D66" s="316" t="s">
        <v>54</v>
      </c>
    </row>
    <row r="67" spans="3:4">
      <c r="D67" s="316" t="s">
        <v>55</v>
      </c>
    </row>
    <row r="68" spans="3:4">
      <c r="C68" s="28" t="s">
        <v>56</v>
      </c>
    </row>
    <row r="69" spans="3:4">
      <c r="D69" s="316" t="s">
        <v>57</v>
      </c>
    </row>
    <row r="70" spans="3:4">
      <c r="D70" s="316" t="s">
        <v>58</v>
      </c>
    </row>
    <row r="71" spans="3:4">
      <c r="D71" s="316" t="s">
        <v>59</v>
      </c>
    </row>
    <row r="72" spans="3:4">
      <c r="D72" s="316" t="s">
        <v>60</v>
      </c>
    </row>
    <row r="73" spans="3:4">
      <c r="D73" s="316" t="s">
        <v>61</v>
      </c>
    </row>
    <row r="74" spans="3:4">
      <c r="C74" s="28" t="s">
        <v>62</v>
      </c>
    </row>
    <row r="75" spans="3:4">
      <c r="D75" s="316" t="s">
        <v>63</v>
      </c>
    </row>
    <row r="76" spans="3:4">
      <c r="D76" s="316" t="s">
        <v>64</v>
      </c>
    </row>
    <row r="77" spans="3:4">
      <c r="D77" s="316" t="s">
        <v>65</v>
      </c>
    </row>
    <row r="78" spans="3:4">
      <c r="D78" s="316" t="s">
        <v>66</v>
      </c>
    </row>
    <row r="79" spans="3:4">
      <c r="D79" s="316" t="s">
        <v>67</v>
      </c>
    </row>
    <row r="80" spans="3:4">
      <c r="C80" s="28" t="s">
        <v>68</v>
      </c>
    </row>
    <row r="81" spans="3:4">
      <c r="D81" s="316" t="s">
        <v>69</v>
      </c>
    </row>
    <row r="82" spans="3:4">
      <c r="D82" s="316" t="s">
        <v>70</v>
      </c>
    </row>
    <row r="83" spans="3:4">
      <c r="D83" s="316" t="s">
        <v>71</v>
      </c>
    </row>
    <row r="84" spans="3:4">
      <c r="D84" s="316" t="s">
        <v>72</v>
      </c>
    </row>
    <row r="85" spans="3:4">
      <c r="C85" s="28" t="s">
        <v>73</v>
      </c>
    </row>
    <row r="86" spans="3:4">
      <c r="D86" s="316" t="s">
        <v>74</v>
      </c>
    </row>
    <row r="87" spans="3:4">
      <c r="D87" s="316" t="s">
        <v>75</v>
      </c>
    </row>
    <row r="88" spans="3:4">
      <c r="D88" s="316" t="s">
        <v>76</v>
      </c>
    </row>
    <row r="89" spans="3:4">
      <c r="D89" s="316" t="s">
        <v>77</v>
      </c>
    </row>
    <row r="90" spans="3:4">
      <c r="D90" s="316" t="s">
        <v>78</v>
      </c>
    </row>
    <row r="91" spans="3:4">
      <c r="D91" s="316" t="s">
        <v>79</v>
      </c>
    </row>
    <row r="92" spans="3:4">
      <c r="D92" s="316" t="s">
        <v>80</v>
      </c>
    </row>
    <row r="93" spans="3:4">
      <c r="C93" s="28" t="s">
        <v>81</v>
      </c>
    </row>
    <row r="94" spans="3:4">
      <c r="D94" s="316" t="s">
        <v>82</v>
      </c>
    </row>
    <row r="95" spans="3:4">
      <c r="D95" s="316" t="s">
        <v>83</v>
      </c>
    </row>
    <row r="96" spans="3:4">
      <c r="D96" s="316" t="s">
        <v>84</v>
      </c>
    </row>
    <row r="97" spans="3:4">
      <c r="D97" s="316" t="s">
        <v>85</v>
      </c>
    </row>
    <row r="98" spans="3:4">
      <c r="D98" s="316" t="s">
        <v>86</v>
      </c>
    </row>
    <row r="99" spans="3:4">
      <c r="D99" s="316" t="s">
        <v>87</v>
      </c>
    </row>
    <row r="100" spans="3:4">
      <c r="D100" s="316" t="s">
        <v>88</v>
      </c>
    </row>
    <row r="101" spans="3:4">
      <c r="D101" s="316" t="s">
        <v>89</v>
      </c>
    </row>
    <row r="102" spans="3:4">
      <c r="C102" s="28" t="s">
        <v>90</v>
      </c>
    </row>
    <row r="103" spans="3:4">
      <c r="D103" s="316" t="s">
        <v>91</v>
      </c>
    </row>
    <row r="104" spans="3:4">
      <c r="D104" s="316" t="s">
        <v>92</v>
      </c>
    </row>
    <row r="105" spans="3:4">
      <c r="D105" s="316" t="s">
        <v>93</v>
      </c>
    </row>
    <row r="106" spans="3:4">
      <c r="D106" s="316" t="s">
        <v>94</v>
      </c>
    </row>
    <row r="107" spans="3:4">
      <c r="C107" s="28" t="s">
        <v>95</v>
      </c>
    </row>
    <row r="108" spans="3:4">
      <c r="D108" s="316" t="s">
        <v>96</v>
      </c>
    </row>
    <row r="109" spans="3:4">
      <c r="D109" s="316" t="s">
        <v>97</v>
      </c>
    </row>
    <row r="110" spans="3:4">
      <c r="D110" s="316" t="s">
        <v>98</v>
      </c>
    </row>
    <row r="112" spans="3:4">
      <c r="C112" s="28" t="s">
        <v>99</v>
      </c>
    </row>
    <row r="113" spans="3:4">
      <c r="D113" s="316" t="s">
        <v>100</v>
      </c>
    </row>
    <row r="114" spans="3:4">
      <c r="D114" s="316" t="s">
        <v>101</v>
      </c>
    </row>
    <row r="115" spans="3:4">
      <c r="D115" s="316" t="s">
        <v>102</v>
      </c>
    </row>
    <row r="116" spans="3:4">
      <c r="D116" s="316" t="s">
        <v>103</v>
      </c>
    </row>
    <row r="117" spans="3:4">
      <c r="D117" s="316" t="s">
        <v>104</v>
      </c>
    </row>
    <row r="118" spans="3:4">
      <c r="C118" s="28" t="s">
        <v>105</v>
      </c>
    </row>
    <row r="119" spans="3:4">
      <c r="D119" s="316" t="s">
        <v>106</v>
      </c>
    </row>
    <row r="120" spans="3:4">
      <c r="D120" s="316" t="s">
        <v>107</v>
      </c>
    </row>
    <row r="121" spans="3:4">
      <c r="D121" s="316" t="s">
        <v>108</v>
      </c>
    </row>
    <row r="122" spans="3:4">
      <c r="D122" s="316" t="s">
        <v>109</v>
      </c>
    </row>
    <row r="123" spans="3:4">
      <c r="D123" s="316" t="s">
        <v>110</v>
      </c>
    </row>
    <row r="124" spans="3:4">
      <c r="D124" s="316" t="s">
        <v>111</v>
      </c>
    </row>
    <row r="125" spans="3:4">
      <c r="D125" s="316" t="s">
        <v>112</v>
      </c>
    </row>
    <row r="126" spans="3:4">
      <c r="D126" s="316" t="s">
        <v>113</v>
      </c>
    </row>
    <row r="127" spans="3:4">
      <c r="D127" s="316" t="s">
        <v>114</v>
      </c>
    </row>
    <row r="128" spans="3:4">
      <c r="D128" s="316" t="s">
        <v>115</v>
      </c>
    </row>
    <row r="129" spans="2:4">
      <c r="D129" s="316" t="s">
        <v>116</v>
      </c>
    </row>
    <row r="130" spans="2:4">
      <c r="D130" s="316" t="s">
        <v>117</v>
      </c>
    </row>
    <row r="131" spans="2:4">
      <c r="D131" s="316" t="s">
        <v>118</v>
      </c>
    </row>
    <row r="132" spans="2:4">
      <c r="D132" s="316" t="s">
        <v>119</v>
      </c>
    </row>
    <row r="133" spans="2:4">
      <c r="C133" s="28" t="s">
        <v>120</v>
      </c>
    </row>
    <row r="134" spans="2:4">
      <c r="D134" s="316" t="s">
        <v>121</v>
      </c>
    </row>
    <row r="135" spans="2:4">
      <c r="D135" s="316" t="s">
        <v>122</v>
      </c>
    </row>
    <row r="136" spans="2:4">
      <c r="D136" s="316" t="s">
        <v>123</v>
      </c>
    </row>
    <row r="137" spans="2:4">
      <c r="D137" s="316" t="s">
        <v>124</v>
      </c>
    </row>
    <row r="138" spans="2:4">
      <c r="D138" s="316" t="s">
        <v>125</v>
      </c>
    </row>
    <row r="139" spans="2:4">
      <c r="C139" s="28" t="s">
        <v>126</v>
      </c>
    </row>
    <row r="140" spans="2:4">
      <c r="D140" s="316" t="s">
        <v>127</v>
      </c>
    </row>
    <row r="141" spans="2:4">
      <c r="D141" s="316" t="s">
        <v>128</v>
      </c>
    </row>
    <row r="142" spans="2:4">
      <c r="D142" s="316" t="s">
        <v>129</v>
      </c>
    </row>
    <row r="143" spans="2:4">
      <c r="B143" s="316" t="s">
        <v>130</v>
      </c>
    </row>
    <row r="144" spans="2:4">
      <c r="C144" s="28" t="s">
        <v>131</v>
      </c>
    </row>
    <row r="145" spans="3:4">
      <c r="D145" s="316" t="s">
        <v>132</v>
      </c>
    </row>
    <row r="146" spans="3:4">
      <c r="D146" s="316" t="s">
        <v>133</v>
      </c>
    </row>
    <row r="147" spans="3:4">
      <c r="D147" s="316" t="s">
        <v>134</v>
      </c>
    </row>
    <row r="148" spans="3:4">
      <c r="C148" s="28" t="s">
        <v>135</v>
      </c>
    </row>
    <row r="149" spans="3:4">
      <c r="D149" s="316" t="s">
        <v>136</v>
      </c>
    </row>
    <row r="150" spans="3:4">
      <c r="D150" s="316" t="s">
        <v>137</v>
      </c>
    </row>
    <row r="151" spans="3:4">
      <c r="D151" s="316" t="s">
        <v>138</v>
      </c>
    </row>
    <row r="152" spans="3:4">
      <c r="D152" s="316" t="s">
        <v>139</v>
      </c>
    </row>
    <row r="153" spans="3:4">
      <c r="D153" s="316" t="s">
        <v>140</v>
      </c>
    </row>
    <row r="154" spans="3:4">
      <c r="D154" s="316" t="s">
        <v>141</v>
      </c>
    </row>
    <row r="155" spans="3:4">
      <c r="D155" s="316" t="s">
        <v>142</v>
      </c>
    </row>
    <row r="156" spans="3:4">
      <c r="D156" s="316" t="s">
        <v>143</v>
      </c>
    </row>
    <row r="157" spans="3:4">
      <c r="C157" s="28" t="s">
        <v>144</v>
      </c>
    </row>
    <row r="158" spans="3:4">
      <c r="D158" s="316" t="s">
        <v>145</v>
      </c>
    </row>
    <row r="159" spans="3:4">
      <c r="D159" s="316" t="s">
        <v>146</v>
      </c>
    </row>
    <row r="160" spans="3:4">
      <c r="D160" s="316" t="s">
        <v>147</v>
      </c>
    </row>
    <row r="161" spans="3:7">
      <c r="C161" s="28" t="s">
        <v>148</v>
      </c>
    </row>
    <row r="162" spans="3:7">
      <c r="D162" s="316" t="s">
        <v>1705</v>
      </c>
      <c r="G162" s="28" t="s">
        <v>704</v>
      </c>
    </row>
    <row r="163" spans="3:7">
      <c r="D163" s="316" t="s">
        <v>1706</v>
      </c>
    </row>
    <row r="164" spans="3:7">
      <c r="D164" s="316" t="s">
        <v>1707</v>
      </c>
    </row>
    <row r="165" spans="3:7">
      <c r="D165" s="316" t="s">
        <v>1691</v>
      </c>
    </row>
    <row r="166" spans="3:7">
      <c r="D166" s="316" t="s">
        <v>1698</v>
      </c>
    </row>
    <row r="167" spans="3:7">
      <c r="D167" s="316" t="s">
        <v>1700</v>
      </c>
    </row>
    <row r="168" spans="3:7">
      <c r="D168" s="316" t="s">
        <v>1701</v>
      </c>
    </row>
    <row r="169" spans="3:7">
      <c r="D169" s="316" t="s">
        <v>1702</v>
      </c>
    </row>
    <row r="170" spans="3:7">
      <c r="D170" s="316" t="s">
        <v>1703</v>
      </c>
    </row>
    <row r="171" spans="3:7">
      <c r="D171" s="316" t="s">
        <v>1704</v>
      </c>
    </row>
    <row r="172" spans="3:7">
      <c r="C172" s="28" t="s">
        <v>149</v>
      </c>
    </row>
    <row r="173" spans="3:7">
      <c r="D173" s="316" t="s">
        <v>150</v>
      </c>
    </row>
    <row r="174" spans="3:7">
      <c r="D174" s="316" t="s">
        <v>151</v>
      </c>
    </row>
    <row r="175" spans="3:7">
      <c r="D175" s="316" t="s">
        <v>152</v>
      </c>
    </row>
    <row r="176" spans="3:7">
      <c r="D176" s="316" t="s">
        <v>153</v>
      </c>
    </row>
    <row r="177" spans="2:4">
      <c r="D177" s="316" t="s">
        <v>154</v>
      </c>
    </row>
    <row r="178" spans="2:4">
      <c r="D178" s="316" t="s">
        <v>155</v>
      </c>
    </row>
    <row r="179" spans="2:4">
      <c r="C179" s="28" t="s">
        <v>156</v>
      </c>
    </row>
    <row r="180" spans="2:4">
      <c r="D180" s="316" t="s">
        <v>157</v>
      </c>
    </row>
    <row r="181" spans="2:4">
      <c r="D181" s="316" t="s">
        <v>158</v>
      </c>
    </row>
    <row r="182" spans="2:4">
      <c r="D182" s="316" t="s">
        <v>159</v>
      </c>
    </row>
    <row r="183" spans="2:4">
      <c r="D183" s="316" t="s">
        <v>160</v>
      </c>
    </row>
    <row r="184" spans="2:4">
      <c r="D184" s="316" t="s">
        <v>161</v>
      </c>
    </row>
    <row r="185" spans="2:4">
      <c r="D185" s="316" t="s">
        <v>162</v>
      </c>
    </row>
    <row r="186" spans="2:4">
      <c r="D186" s="316" t="s">
        <v>163</v>
      </c>
    </row>
    <row r="187" spans="2:4">
      <c r="B187" s="316" t="s">
        <v>164</v>
      </c>
    </row>
    <row r="188" spans="2:4">
      <c r="C188" s="28" t="s">
        <v>165</v>
      </c>
    </row>
    <row r="189" spans="2:4">
      <c r="D189" s="316" t="s">
        <v>166</v>
      </c>
    </row>
    <row r="190" spans="2:4">
      <c r="C190" s="28" t="s">
        <v>167</v>
      </c>
    </row>
    <row r="191" spans="2:4">
      <c r="D191" s="316" t="s">
        <v>168</v>
      </c>
    </row>
    <row r="192" spans="2:4">
      <c r="D192" s="316" t="s">
        <v>169</v>
      </c>
    </row>
    <row r="193" spans="2:4">
      <c r="D193" s="316" t="s">
        <v>170</v>
      </c>
    </row>
    <row r="194" spans="2:4">
      <c r="D194" s="316" t="s">
        <v>171</v>
      </c>
    </row>
    <row r="195" spans="2:4">
      <c r="C195" s="28" t="s">
        <v>172</v>
      </c>
    </row>
    <row r="196" spans="2:4">
      <c r="D196" s="316" t="s">
        <v>173</v>
      </c>
    </row>
    <row r="197" spans="2:4">
      <c r="D197" s="316" t="s">
        <v>174</v>
      </c>
    </row>
    <row r="198" spans="2:4">
      <c r="D198" s="316" t="s">
        <v>175</v>
      </c>
    </row>
    <row r="199" spans="2:4">
      <c r="C199" s="28" t="s">
        <v>176</v>
      </c>
    </row>
    <row r="200" spans="2:4">
      <c r="D200" s="316" t="s">
        <v>177</v>
      </c>
    </row>
    <row r="201" spans="2:4">
      <c r="D201" s="316" t="s">
        <v>178</v>
      </c>
    </row>
    <row r="202" spans="2:4">
      <c r="D202" s="316" t="s">
        <v>179</v>
      </c>
    </row>
    <row r="203" spans="2:4">
      <c r="D203" s="316" t="s">
        <v>180</v>
      </c>
    </row>
    <row r="204" spans="2:4">
      <c r="D204" s="316" t="s">
        <v>181</v>
      </c>
    </row>
    <row r="205" spans="2:4">
      <c r="B205" s="316" t="s">
        <v>182</v>
      </c>
    </row>
    <row r="206" spans="2:4">
      <c r="C206" s="28" t="s">
        <v>183</v>
      </c>
    </row>
    <row r="207" spans="2:4">
      <c r="D207" s="316" t="s">
        <v>184</v>
      </c>
    </row>
    <row r="208" spans="2:4">
      <c r="D208" s="316" t="s">
        <v>185</v>
      </c>
    </row>
    <row r="209" spans="2:4">
      <c r="D209" s="316" t="s">
        <v>186</v>
      </c>
    </row>
    <row r="210" spans="2:4">
      <c r="D210" s="316" t="s">
        <v>187</v>
      </c>
    </row>
    <row r="211" spans="2:4">
      <c r="D211" s="316" t="s">
        <v>188</v>
      </c>
    </row>
    <row r="212" spans="2:4">
      <c r="D212" s="316" t="s">
        <v>189</v>
      </c>
    </row>
    <row r="213" spans="2:4">
      <c r="D213" s="316" t="s">
        <v>190</v>
      </c>
    </row>
    <row r="214" spans="2:4">
      <c r="B214" s="316" t="s">
        <v>191</v>
      </c>
    </row>
    <row r="215" spans="2:4">
      <c r="C215" s="28" t="s">
        <v>192</v>
      </c>
    </row>
    <row r="216" spans="2:4">
      <c r="D216" s="316" t="s">
        <v>193</v>
      </c>
    </row>
    <row r="217" spans="2:4">
      <c r="C217" s="28" t="s">
        <v>194</v>
      </c>
    </row>
    <row r="218" spans="2:4">
      <c r="B218" s="268" t="s">
        <v>1134</v>
      </c>
      <c r="D218" s="316" t="s">
        <v>195</v>
      </c>
    </row>
    <row r="219" spans="2:4">
      <c r="D219" s="316" t="s">
        <v>196</v>
      </c>
    </row>
    <row r="220" spans="2:4">
      <c r="D220" s="316" t="s">
        <v>197</v>
      </c>
    </row>
    <row r="221" spans="2:4">
      <c r="C221" s="28" t="s">
        <v>198</v>
      </c>
    </row>
    <row r="222" spans="2:4">
      <c r="D222" s="316" t="s">
        <v>199</v>
      </c>
    </row>
    <row r="223" spans="2:4">
      <c r="D223" s="316" t="s">
        <v>200</v>
      </c>
    </row>
    <row r="224" spans="2:4">
      <c r="D224" s="316" t="s">
        <v>201</v>
      </c>
    </row>
    <row r="225" spans="2:11">
      <c r="C225" s="28" t="s">
        <v>202</v>
      </c>
    </row>
    <row r="226" spans="2:11">
      <c r="D226" s="316" t="s">
        <v>203</v>
      </c>
      <c r="K226" s="28" t="s">
        <v>704</v>
      </c>
    </row>
    <row r="227" spans="2:11">
      <c r="D227" s="316" t="s">
        <v>204</v>
      </c>
    </row>
    <row r="228" spans="2:11">
      <c r="D228" s="316" t="s">
        <v>205</v>
      </c>
    </row>
    <row r="229" spans="2:11">
      <c r="B229" s="316" t="s">
        <v>206</v>
      </c>
    </row>
    <row r="230" spans="2:11">
      <c r="C230" s="28" t="s">
        <v>207</v>
      </c>
    </row>
    <row r="231" spans="2:11">
      <c r="D231" s="316" t="s">
        <v>208</v>
      </c>
    </row>
    <row r="232" spans="2:11">
      <c r="D232" s="316" t="s">
        <v>1685</v>
      </c>
    </row>
    <row r="233" spans="2:11">
      <c r="C233" s="28" t="s">
        <v>209</v>
      </c>
    </row>
    <row r="234" spans="2:11">
      <c r="D234" s="316" t="s">
        <v>210</v>
      </c>
    </row>
    <row r="235" spans="2:11">
      <c r="D235" s="316" t="s">
        <v>1681</v>
      </c>
    </row>
    <row r="236" spans="2:11">
      <c r="D236" s="316" t="s">
        <v>1686</v>
      </c>
    </row>
    <row r="237" spans="2:11">
      <c r="D237" s="316" t="s">
        <v>1687</v>
      </c>
    </row>
    <row r="238" spans="2:11">
      <c r="B238" s="316" t="s">
        <v>211</v>
      </c>
    </row>
    <row r="239" spans="2:11">
      <c r="C239" s="28" t="s">
        <v>212</v>
      </c>
    </row>
    <row r="240" spans="2:11">
      <c r="D240" s="316" t="s">
        <v>213</v>
      </c>
    </row>
    <row r="241" spans="3:4">
      <c r="D241" s="316" t="s">
        <v>214</v>
      </c>
    </row>
    <row r="242" spans="3:4">
      <c r="D242" s="316" t="s">
        <v>215</v>
      </c>
    </row>
    <row r="243" spans="3:4">
      <c r="C243" s="28" t="s">
        <v>216</v>
      </c>
    </row>
    <row r="244" spans="3:4">
      <c r="D244" s="316" t="s">
        <v>217</v>
      </c>
    </row>
    <row r="245" spans="3:4">
      <c r="D245" s="316" t="s">
        <v>218</v>
      </c>
    </row>
    <row r="246" spans="3:4">
      <c r="C246" s="28" t="s">
        <v>219</v>
      </c>
    </row>
    <row r="247" spans="3:4">
      <c r="D247" s="316" t="s">
        <v>220</v>
      </c>
    </row>
    <row r="248" spans="3:4">
      <c r="D248" s="316" t="s">
        <v>1660</v>
      </c>
    </row>
    <row r="249" spans="3:4">
      <c r="D249" s="316" t="s">
        <v>1661</v>
      </c>
    </row>
    <row r="250" spans="3:4">
      <c r="D250" s="316" t="s">
        <v>1662</v>
      </c>
    </row>
    <row r="251" spans="3:4">
      <c r="D251" s="316" t="s">
        <v>1663</v>
      </c>
    </row>
    <row r="252" spans="3:4">
      <c r="D252" s="316" t="s">
        <v>222</v>
      </c>
    </row>
    <row r="253" spans="3:4">
      <c r="D253" s="316" t="s">
        <v>223</v>
      </c>
    </row>
    <row r="254" spans="3:4">
      <c r="C254" s="28" t="s">
        <v>224</v>
      </c>
    </row>
    <row r="255" spans="3:4">
      <c r="D255" s="316" t="s">
        <v>225</v>
      </c>
    </row>
    <row r="256" spans="3:4">
      <c r="D256" s="316" t="s">
        <v>226</v>
      </c>
    </row>
    <row r="257" spans="2:4">
      <c r="C257" s="28" t="s">
        <v>227</v>
      </c>
    </row>
    <row r="258" spans="2:4">
      <c r="D258" s="316" t="s">
        <v>228</v>
      </c>
    </row>
    <row r="259" spans="2:4">
      <c r="B259" s="316" t="s">
        <v>229</v>
      </c>
    </row>
    <row r="260" spans="2:4">
      <c r="B260" s="316"/>
      <c r="C260" s="316" t="s">
        <v>230</v>
      </c>
    </row>
    <row r="261" spans="2:4">
      <c r="C261" s="316" t="s">
        <v>231</v>
      </c>
    </row>
    <row r="262" spans="2:4">
      <c r="C262" s="316" t="s">
        <v>232</v>
      </c>
    </row>
    <row r="263" spans="2:4">
      <c r="C263" s="316" t="s">
        <v>233</v>
      </c>
    </row>
    <row r="264" spans="2:4">
      <c r="C264" s="316" t="s">
        <v>234</v>
      </c>
    </row>
    <row r="265" spans="2:4">
      <c r="C265" s="316" t="s">
        <v>235</v>
      </c>
    </row>
    <row r="266" spans="2:4">
      <c r="C266" s="316" t="s">
        <v>236</v>
      </c>
    </row>
    <row r="267" spans="2:4">
      <c r="C267" s="316" t="s">
        <v>237</v>
      </c>
    </row>
    <row r="268" spans="2:4">
      <c r="C268" s="316" t="s">
        <v>238</v>
      </c>
    </row>
    <row r="269" spans="2:4">
      <c r="C269" s="316" t="s">
        <v>239</v>
      </c>
    </row>
    <row r="270" spans="2:4">
      <c r="C270" s="316" t="s">
        <v>240</v>
      </c>
    </row>
    <row r="271" spans="2:4">
      <c r="C271" s="316" t="s">
        <v>241</v>
      </c>
    </row>
    <row r="272" spans="2:4">
      <c r="C272" s="316" t="s">
        <v>242</v>
      </c>
    </row>
    <row r="273" spans="2:3">
      <c r="C273" s="316" t="s">
        <v>243</v>
      </c>
    </row>
    <row r="274" spans="2:3">
      <c r="C274" s="316" t="s">
        <v>244</v>
      </c>
    </row>
    <row r="275" spans="2:3">
      <c r="C275" s="316" t="s">
        <v>245</v>
      </c>
    </row>
    <row r="276" spans="2:3">
      <c r="C276" s="316" t="s">
        <v>246</v>
      </c>
    </row>
    <row r="277" spans="2:3">
      <c r="B277" s="28" t="s">
        <v>1689</v>
      </c>
      <c r="C277" s="316"/>
    </row>
    <row r="278" spans="2:3">
      <c r="C278" s="316" t="s">
        <v>248</v>
      </c>
    </row>
    <row r="279" spans="2:3">
      <c r="C279" s="316" t="s">
        <v>249</v>
      </c>
    </row>
    <row r="280" spans="2:3">
      <c r="C280" s="316" t="s">
        <v>250</v>
      </c>
    </row>
    <row r="281" spans="2:3">
      <c r="C281" s="316" t="s">
        <v>251</v>
      </c>
    </row>
    <row r="282" spans="2:3">
      <c r="C282" s="316" t="s">
        <v>252</v>
      </c>
    </row>
    <row r="283" spans="2:3">
      <c r="C283" s="316" t="s">
        <v>253</v>
      </c>
    </row>
    <row r="322" spans="2:4">
      <c r="C322" s="28" t="s">
        <v>221</v>
      </c>
      <c r="D322" s="316"/>
    </row>
    <row r="323" spans="2:4">
      <c r="D323" s="316" t="s">
        <v>222</v>
      </c>
    </row>
    <row r="324" spans="2:4">
      <c r="D324" s="316" t="s">
        <v>223</v>
      </c>
    </row>
    <row r="325" spans="2:4">
      <c r="C325" s="28" t="s">
        <v>224</v>
      </c>
    </row>
    <row r="326" spans="2:4">
      <c r="D326" s="316" t="s">
        <v>225</v>
      </c>
    </row>
    <row r="327" spans="2:4">
      <c r="D327" s="316" t="s">
        <v>226</v>
      </c>
    </row>
    <row r="328" spans="2:4">
      <c r="C328" s="28" t="s">
        <v>227</v>
      </c>
    </row>
    <row r="329" spans="2:4">
      <c r="D329" s="316" t="s">
        <v>228</v>
      </c>
    </row>
    <row r="330" spans="2:4">
      <c r="B330" s="316" t="s">
        <v>229</v>
      </c>
    </row>
    <row r="331" spans="2:4">
      <c r="B331" s="316"/>
      <c r="C331" s="316" t="s">
        <v>230</v>
      </c>
    </row>
    <row r="332" spans="2:4">
      <c r="C332" s="316" t="s">
        <v>231</v>
      </c>
    </row>
    <row r="333" spans="2:4">
      <c r="C333" s="316" t="s">
        <v>232</v>
      </c>
    </row>
    <row r="334" spans="2:4">
      <c r="C334" s="316" t="s">
        <v>233</v>
      </c>
    </row>
    <row r="335" spans="2:4">
      <c r="C335" s="316" t="s">
        <v>234</v>
      </c>
    </row>
    <row r="336" spans="2:4">
      <c r="C336" s="316" t="s">
        <v>235</v>
      </c>
    </row>
    <row r="337" spans="3:3">
      <c r="C337" s="316" t="s">
        <v>236</v>
      </c>
    </row>
    <row r="338" spans="3:3">
      <c r="C338" s="316" t="s">
        <v>237</v>
      </c>
    </row>
    <row r="339" spans="3:3">
      <c r="C339" s="316" t="s">
        <v>238</v>
      </c>
    </row>
    <row r="340" spans="3:3">
      <c r="C340" s="316" t="s">
        <v>239</v>
      </c>
    </row>
    <row r="341" spans="3:3">
      <c r="C341" s="316" t="s">
        <v>240</v>
      </c>
    </row>
    <row r="342" spans="3:3">
      <c r="C342" s="316" t="s">
        <v>241</v>
      </c>
    </row>
    <row r="343" spans="3:3">
      <c r="C343" s="316" t="s">
        <v>242</v>
      </c>
    </row>
    <row r="344" spans="3:3">
      <c r="C344" s="316" t="s">
        <v>243</v>
      </c>
    </row>
    <row r="345" spans="3:3">
      <c r="C345" s="316" t="s">
        <v>244</v>
      </c>
    </row>
    <row r="346" spans="3:3">
      <c r="C346" s="316" t="s">
        <v>245</v>
      </c>
    </row>
    <row r="347" spans="3:3">
      <c r="C347" s="316" t="s">
        <v>246</v>
      </c>
    </row>
    <row r="348" spans="3:3">
      <c r="C348" s="316" t="s">
        <v>247</v>
      </c>
    </row>
    <row r="349" spans="3:3">
      <c r="C349" s="316" t="s">
        <v>248</v>
      </c>
    </row>
    <row r="350" spans="3:3">
      <c r="C350" s="316" t="s">
        <v>249</v>
      </c>
    </row>
    <row r="351" spans="3:3">
      <c r="C351" s="316" t="s">
        <v>250</v>
      </c>
    </row>
    <row r="352" spans="3:3">
      <c r="C352" s="316" t="s">
        <v>251</v>
      </c>
    </row>
    <row r="353" spans="3:3">
      <c r="C353" s="316" t="s">
        <v>252</v>
      </c>
    </row>
    <row r="354" spans="3:3">
      <c r="C354" s="316" t="s">
        <v>253</v>
      </c>
    </row>
  </sheetData>
  <hyperlinks>
    <hyperlink ref="B5" location="OVERVIEW!B2" display="GENERAL OVERVIEW "/>
    <hyperlink ref="B11" location="'SCHOOL INFRASTRUCTURE'!B2" display="1. SCHOOL INFRASTRUCTURE "/>
    <hyperlink ref="C6" location="OVERVIEW!B4" display="Overview 1: Number of schools"/>
    <hyperlink ref="C7" location="OVERVIEW!B16" display="OVERVIEW!B16"/>
    <hyperlink ref="C8" location="OVERVIEW!B27" display="OVERVIEW!B27"/>
    <hyperlink ref="C9" location="OVERVIEW!B51" display="OVERVIEW!B51"/>
    <hyperlink ref="D13" location="'SCHOOL INFRASTRUCTURE'!B6" display="Table 1.1.1: Number of schools by level of education "/>
    <hyperlink ref="D14" location="'SCHOOL INFRASTRUCTURE'!B19" display="Table 1.1.2: Number of preprimary, primary, secondary and TVET L1-L5 schools  "/>
    <hyperlink ref="D15" location="'SCHOOL INFRASTRUCTURE'!B47" display="Table 1.1.3: School settings with preprimary level "/>
    <hyperlink ref="D16" location="'SCHOOL INFRASTRUCTURE'!B56" display="Table 1.1.4: School settings with primary level "/>
    <hyperlink ref="D17" location="'SCHOOL INFRASTRUCTURE'!B65" display="Table 1.1.5: School settings with General and professional secondary "/>
    <hyperlink ref="D18" location="'SCHOOL INFRASTRUCTURE'!B74" display="Table 1.1.6: School settings with TVET L1 to L5 "/>
    <hyperlink ref="D20" location="'SCHOOL INFRASTRUCTURE'!B85" display="Table 1.2.2: Number of Schools with Pre-primary level, by schools’ status "/>
    <hyperlink ref="D21" location="'SCHOOL INFRASTRUCTURE'!B97" display="Table 1.2.3: Number of schools with Primary level by school’ status "/>
    <hyperlink ref="D22" location="'SCHOOL INFRASTRUCTURE'!B109" display="Table 1.2.4: Number of schools with gen. and prof. secondary Level, by school’ status  "/>
    <hyperlink ref="D23" location="'SCHOOL INFRASTRUCTURE'!B121" display="Table 1.2.5: Number of schools with TVET L1 to L5, by school’ status "/>
    <hyperlink ref="D24" location="'SCHOOL INFRASTRUCTURE'!B133" display="Table 1.2.6: Number of Higher education institutions "/>
    <hyperlink ref="D25" location="'SCHOOL INFRASTRUCTURE'!B146" display="Table 1.2.7: Number of adult literacy centers "/>
    <hyperlink ref="D35" location="'SCHOOL INFRASTRUCTURE'!B254" display="Table 1.4.1: Total number of classrooms in use, by schools ‘status "/>
    <hyperlink ref="D36" location="'SCHOOL INFRASTRUCTURE'!B266" display="Table 1.4.2: Number of Preprimary classrooms, by schools 'status "/>
    <hyperlink ref="D37" location="'SCHOOL INFRASTRUCTURE'!B278" display="Table 1.4.3 : Number of primary classrooms in use by school status "/>
    <hyperlink ref="D38" location="'SCHOOL INFRASTRUCTURE'!B290" display="Table 1.4.4: Number of primary school classes by school status "/>
    <hyperlink ref="D39" location="'SCHOOL INFRASTRUCTURE'!B302" display="Table 1.4.5: Number of primary classrooms in use per grade "/>
    <hyperlink ref="D40" location="'SCHOOL INFRASTRUCTURE'!B320" display="Table 1.4.6: Number of gen. and prof. secondary classrooms in use "/>
    <hyperlink ref="D41" location="'SCHOOL INFRASTRUCTURE'!B332" display="Table 1.4.7: Number of gen. and prof. secondary classrooms per grade "/>
    <hyperlink ref="D42" location="'SCHOOL INFRASTRUCTURE'!B350" display="Table 1.4.8: Number of TVET classrooms for level I to 5 "/>
    <hyperlink ref="D43" location="'SCHOOL INFRASTRUCTURE'!B362" display="Table 1.4.9: Number of TVET’ classrooms per level "/>
    <hyperlink ref="D45" location="'SCHOOL INFRASTRUCTURE'!B380" display="Table 1.5.1: Total number of desks, by schools’ status "/>
    <hyperlink ref="D46" location="'SCHOOL INFRASTRUCTURE'!B388" display="Table 1.5.2: Number of Preprimary desks, by schools’ status "/>
    <hyperlink ref="D47" location="'SCHOOL INFRASTRUCTURE'!B400" display="Table 1.5.3: Number of primary desks by school status "/>
    <hyperlink ref="D48" location="'SCHOOL INFRASTRUCTURE'!B412" display="Table 1.5.4: Number of gen. and prof. secondary desks "/>
    <hyperlink ref="D49" location="'SCHOOL INFRASTRUCTURE'!B424" display="Table 1.5.5: Number of TVET desks for level I to 5 "/>
    <hyperlink ref="D50" location="'SCHOOL INFRASTRUCTURE'!B436" display="Table 1.5.6: Number of Adult literacy desks "/>
    <hyperlink ref="B54" location="LEARNERS!B2" display="2. LEARNERS "/>
    <hyperlink ref="D56" location="LEARNERS!B6" display="Table 2.1.1: Number of total learners in Rwanda education system "/>
    <hyperlink ref="D69" location="'LEARNERS'!B229" display="Table 2.2.1: Enrolled primary school pupils by grade "/>
    <hyperlink ref="D70" location="'LEARNERS'!B251" display="Table 2.2.2: Lower secondary school student’s enrolment "/>
    <hyperlink ref="D71" location="'LEARNERS'!B264" display="Table 2.2.3: General and professional upper secondary school student’s enrolment "/>
    <hyperlink ref="D72" location="'LEARNERS'!B277" display="Table 2.2.4: Total number of TVET trainees "/>
    <hyperlink ref="D73" location="'LEARNERS'!B298" display="Table 2.2.5: TVET trainee’s enrolment from level 1 to 5 "/>
    <hyperlink ref="D75" location="'LEARNERS'!B319" display="Table 2.3.1: Upper secondary students by learning area "/>
    <hyperlink ref="D76" location="'LEARNERS'!B358" display="Table 2.3.2: Upper secondary students per learning area in 2021/22 "/>
    <hyperlink ref="D77" location="'LEARNERS'!B374" display="Table 2.3.3: Proportion of upper secondary students per grade in 2021/22 "/>
    <hyperlink ref="D78" location="'LEARNERS'!B390" display="Table 2.3.4: Higher education students enrolled by field of education. "/>
    <hyperlink ref="D79" location="'LEARNERS'!B424" display="Table 2.3.5: TVET short courses trainees by type of intervention "/>
    <hyperlink ref="D81" location="'LEARNERS'!B453" display="Table 2.4.1: STEM students enrolled in upper secondary "/>
    <hyperlink ref="D82" location="'LEARNERS'!B471" display="Table 2.4.2: Percentage of STEM students enrolled in upper secondary "/>
    <hyperlink ref="D83" location="'LEARNERS'!B487" display="Table 2.4.3: STEM students enrolled in Higher education "/>
    <hyperlink ref="D84" location="'LEARNERS'!B502" display="Table 2.4.4: Percentage of STEM students enrolled in Higher education "/>
    <hyperlink ref="D86" location="'LEARNERS'!B517" display="Table 2.5.1: Number of enrolled learners in 2021/22 per age group and level of education  "/>
    <hyperlink ref="D87" location="'LEARNERS'!B532" display="Table 2.5.2: Number of over-age learners for grade "/>
    <hyperlink ref="D88" location="'LEARNERS'!B554" display="Table 2.5.3: Percentage of children over-age for grade "/>
    <hyperlink ref="D89" location="'LEARNERS'!B576" display="Table 2.5.4: People aged 3-22 in school and out of school by official school age "/>
    <hyperlink ref="D90" location="'LEARNERS'!B589" display="Table 2.5.5: Participation rate for children aged 3 - 6 years "/>
    <hyperlink ref="D91" location="'LEARNERS'!B601" display="Table 2.5.6: Participation rate for people aged 6-18 "/>
    <hyperlink ref="D92" location="'LEARNERS'!B617" display="Table 2.5.7: Participation rate for people aged 15- 23 "/>
    <hyperlink ref="D94" location="'LEARNERS'!B635" display="Table 2.6.1: National average for Gross and Net enrolment rate "/>
    <hyperlink ref="D95" location="'LEARNERS'!B646" display="Table 2.6.2: Preprimary Gross and Net enrollment rate "/>
    <hyperlink ref="D96" location="'LEARNERS'!B657" display="Table 2.6.3: Primary Gross and Net enrollment rate "/>
    <hyperlink ref="D97" location="'LEARNERS'!B668" display="Table 2.6.4: Secondary Gross and Net enrollment rate "/>
    <hyperlink ref="D98" location="'LEARNERS'!B679" display="Table 2.6.5: Lower secondary Gross and Net enrollment rate "/>
    <hyperlink ref="D99" location="'LEARNERS'!B690" display="Table 2.6.6: Upper secondary Gross and Net enrollment rate "/>
    <hyperlink ref="D100" location="'LEARNERS'!B701" display="Table 2.6.7: Higher education GER and students per 100,000 inhabitants "/>
    <hyperlink ref="D101" location="'LEARNERS'!B712" display="Table 2.6.8: Gender parity index in enrollment "/>
    <hyperlink ref="D103" location="'LEARNERS'!B724" display="Table 2.7.1: Primary Gross and Net intake rate "/>
    <hyperlink ref="D104" location="'LEARNERS'!B742" display="Table 2.7.2: Gross and Net Intake rate in S1 "/>
    <hyperlink ref="D105" location="'LEARNERS'!B753" display="Table 2.7.3: Gross and Net Intake rate in S3  "/>
    <hyperlink ref="D106" location="'LEARNERS'!B764" display="Table 2.7.4: Gross and Net Intake rate in S6 "/>
    <hyperlink ref="D108" location="'LEARNERS'!B777" display="Table 2.8.1: Proportion of P1 students who reach S6 within 12 years.  "/>
    <hyperlink ref="D109" location="'LEARNERS'!B803" display="Table 2.8.2: Proportion of P1 students who reach P6 within 6 years.  "/>
    <hyperlink ref="D110" location="'LEARNERS'!B803" display="Table 2.8.3: Proportion of S1 students who reach S6 within 6 years.  "/>
    <hyperlink ref="D113" location="'LEARNERS'!B818" display="Table 2.9.1: National average for Promotion, repetition, and dropout rate "/>
    <hyperlink ref="D114" location="'LEARNERS'!B831" display="Table 2.9.2: Promotion, repetition, and dropout rate in primary schools "/>
    <hyperlink ref="D115" location="'LEARNERS'!B844" display="Table 2.9.3: Promotion, repetition, and dropout rate in secondary schools "/>
    <hyperlink ref="D116" location="'LEARNERS'!B857" display="Table 2.9.4: Promotion, repetition, and dropout rate in lower secondary schools "/>
    <hyperlink ref="D117" location="'LEARNERS'!B870" display="Table 2.9.5: Promotion, repetition, and dropout rate in upper secondary schools "/>
    <hyperlink ref="D119" location="'LEARNERS'!B885" display="Table 2.10.1: National examination results for Primary (P6) "/>
    <hyperlink ref="D120" location="'LEARNERS'!B898" display="Table 2.10.2: National examination results for lower secondary (S3) "/>
    <hyperlink ref="D121" location="'LEARNERS'!B911" display="Table 2.10.3: Upper secondary national examination results "/>
    <hyperlink ref="D122" location="'LEARNERS'!B924" display="Table 2.10.4: General upper secondary national examination results (S6) "/>
    <hyperlink ref="D123" location="'LEARNERS'!B937" display="Table 2.10.5: National examination results in TTCs (Y3) "/>
    <hyperlink ref="D124" location="'LEARNERS'!B950" display="Table 2.10.6: National examination results in TVET(L5) "/>
    <hyperlink ref="D125" location="'LEARNERS'!B963" display="Table 2.10.7: Number of Higher education graduates "/>
    <hyperlink ref="D126" location="'LEARNERS'!B982" display="Table 2.10.8: Polytechnics graduates "/>
    <hyperlink ref="D127" location="'LEARNERS'!B997" display="Table 2.10.9: General Higher Education graduates "/>
    <hyperlink ref="D128" location="'LEARNERS'!B1012" display="Table 2.10.10: Higher education graduates by exit award "/>
    <hyperlink ref="D129" location="'LEARNERS'!B1026" display="Table 2.10.11: Higher education graduates by fields of education "/>
    <hyperlink ref="D130" location="'LEARNERS'!B1042" display="Table 2.10.12:  STEM graduates in Higher education institutions "/>
    <hyperlink ref="D131" location="'LEARNERS'!B1057" display="Table 2.10.13: Percentage of STEM graduates in Higher education institutions "/>
    <hyperlink ref="D132" location="'LEARNERS'!B1070" display="Table 2.10.14: Adult Literacy learners who received their certificates. "/>
    <hyperlink ref="D134" location="'LEARNERS'!B1081" display="Table 2.11.1: Primary one newly admitted pupil of which attended pre-primary "/>
    <hyperlink ref="D135" location="'LEARNERS'!B1097" display="Table 2.11.2: Transition rate from primary to lower secondary "/>
    <hyperlink ref="D136" location="'LEARNERS'!B1104" display="Table 2.11.3: Transition rate from lower to upper secondary "/>
    <hyperlink ref="D137" location="'LEARNERS'!B1111" display="Table 2.11.4: Percentage of students enrolled in TVET L3 after passing S3 National Exam "/>
    <hyperlink ref="D138" location="'LEARNERS'!B1128" display="Table 2.11.5: Transition rate from secondary to Higher education "/>
    <hyperlink ref="D140" location="'LEARNERS'!B1143" display="Table 2.12.1: Boarding and non-boarding students in secondary and TVET level "/>
    <hyperlink ref="D141" location="'LEARNERS'!B1163" display="Table 2.12.2: Number of boarding students in Gen. and prof secondary "/>
    <hyperlink ref="D142" location="'LEARNERS'!B1181" display="Table 2.12.3: Number of boarding students in TVET level 1 to 5 "/>
    <hyperlink ref="B143" location="'SCHOOL  STAFF'!B2" display="3. SCHOOL STAFF "/>
    <hyperlink ref="D145" location="'SCHOOL  STAFF'!B6" display="Table 3.1.1: Number of total school staff in Rwanda education system "/>
    <hyperlink ref="D146" location="'SCHOOL  STAFF'!B24" display="Table 3.1.2: Number of total school staff in Preprimary, Primary, Secondary and TVET L1-L5 "/>
    <hyperlink ref="D147" location="'SCHOOL  STAFF'!B42" display="Table 3.1.3: Number of Higher education staff "/>
    <hyperlink ref="D158" location="'SCHOOL  STAFF'!B197" display="Table 3.3.1: Total Number of administrative staff in education system   "/>
    <hyperlink ref="D159" location="'SCHOOL  STAFF'!B215" display="Table 3.3.2: Administrative staff in Preprimary, primary, secondary and TVET L1 to L5  "/>
    <hyperlink ref="D160" location="'SCHOOL  STAFF'!B233" display="Table 3.3.3: Number of administrative staff in Higher education institutions "/>
    <hyperlink ref="D169" location="'SCHOOL  STAFF'!B411" display="Table 3.4.8: Number of Higher education staff by qualification"/>
    <hyperlink ref="D170" location="'SCHOOL  STAFF'!B428" display="Table 3.4.9: Number of Higher education academic staff by qualification"/>
    <hyperlink ref="D171" location="'SCHOOL  STAFF'!B445" display="Table 3.4.10: Number of Higher education administrative staff by level of education"/>
    <hyperlink ref="D173" location="'SCHOOL  STAFF'!B395" display="Table 3.5.1: Qualified teaching staff in Preprimary education "/>
    <hyperlink ref="D174" location="'SCHOOL  STAFF'!B411" display="Table 3.5.2: Qualified teaching staff in primary education "/>
    <hyperlink ref="D175" location="'SCHOOL  STAFF'!B427" display="Table 3.5.3: Qualified teaching staff in gen. and prof. secondary education "/>
    <hyperlink ref="D176" location="'SCHOOL  STAFF'!B443" display="Table 3.5.4: Qualified teaching staff in TVET education "/>
    <hyperlink ref="D177" location="'SCHOOL  STAFF'!B459" display="Table 3.5.5: PhD holders among academic staff in Higher education "/>
    <hyperlink ref="D178" location="'SCHOOL  STAFF'!B471" display="Table 3.5.6: Pupil qualified teacher ratio "/>
    <hyperlink ref="B187" location="'ICT, SCIENCE AND TECHNOLOGY'!B2" display="4. ICT, SCIENCE AND TECHNOLOGY  "/>
    <hyperlink ref="D189" location="'ICT, SCIENCE AND TECHNOLOGY'!B6" display="Table 4.1.1: Use of ICT for teaching and learning "/>
    <hyperlink ref="D191" location="'ICT, SCIENCE AND TECHNOLOGY'!B27" display="Table 4.2.1: Smart classrooms in schools "/>
    <hyperlink ref="D192" location="'ICT, SCIENCE AND TECHNOLOGY'!B43" display="Table 4.2.2: Computer laboratories in schools "/>
    <hyperlink ref="D193" location="'ICT, SCIENCE AND TECHNOLOGY'!B59" display="Table 4.2.3: Number of secondary schools with science laboratories "/>
    <hyperlink ref="D194" location="'ICT, SCIENCE AND TECHNOLOGY'!B67" display="Table 4.2.4: Internet connectivity in schools "/>
    <hyperlink ref="D196" location="'ICT, SCIENCE AND TECHNOLOGY'!B88" display="Table 4.3.1: Science kits in schools "/>
    <hyperlink ref="D197" location="'ICT, SCIENCE AND TECHNOLOGY'!B107" display="Table 4.3.2: Projectors in schools "/>
    <hyperlink ref="D198" location="'ICT, SCIENCE AND TECHNOLOGY'!B123" display="Table 4.3.3:Smartboard in schools "/>
    <hyperlink ref="D200" location="'ICT, SCIENCE AND TECHNOLOGY'!B141" display="Table 4.4.1: Total number of computers "/>
    <hyperlink ref="D201" location="'ICT, SCIENCE AND TECHNOLOGY'!B149" display="Table 4.4.2: Computers for learners "/>
    <hyperlink ref="D202" location="'ICT, SCIENCE AND TECHNOLOGY'!B165" display="Table 4.4.3: Computers for teaching/academic staff "/>
    <hyperlink ref="D203" location="'ICT, SCIENCE AND TECHNOLOGY'!B181" display="Table 4.4.4: Computers for administrative staff "/>
    <hyperlink ref="D204" location="'ICT, SCIENCE AND TECHNOLOGY'!B197" display="Table 4.4.5: Availability of computers to schools "/>
    <hyperlink ref="B205" location="'BOOKS AND TEXTBOOKS'!B2" display="5. BOOKS AND TEXTBOOKS  "/>
    <hyperlink ref="D207" location="'BOOKS AND TEXTBOOKS'!B6" display="Table 5.1.1: Students books in preprimary schools by subject "/>
    <hyperlink ref="D208" location="'BOOKS AND TEXTBOOKS'!B24" display="Table 5.1.2: Books in use by primary students by subject "/>
    <hyperlink ref="D209" location="'BOOKS AND TEXTBOOKS'!B40" display="Table 5.1.3: Pupil: book ratio in lower secondary students by subject "/>
    <hyperlink ref="D210" location="'BOOKS AND TEXTBOOKS'!B68" display="Table 5.1.4: Students books in science combinations by Subject "/>
    <hyperlink ref="D211" location="'BOOKS AND TEXTBOOKS'!B90" display="Table 5.1.5: Students books in humanities combinations by subject "/>
    <hyperlink ref="D212" location="'BOOKS AND TEXTBOOKS'!B110" display="Table 5.1.6: Students books in Language’s combinations by subject "/>
    <hyperlink ref="D213" location="'BOOKS AND TEXTBOOKS'!B130" display="Table 5.1.7: Students books in TTC’s combinations by subject "/>
    <hyperlink ref="B214" location="'ENERGY,WATER, AND SANITATION'!B2" display="6. ENERGY, WATER AND SANITATION "/>
    <hyperlink ref="D216" location="'ENERGY,WATER, AND SANITATION'!B6" display="Table 6.1.1: On grid electricity in schools "/>
    <hyperlink ref="D218" location="'ENERGY,WATER, AND SANITATION'!B27" display="Table 6.2.1: Solar power in schools "/>
    <hyperlink ref="D219" location="'ENERGY,WATER, AND SANITATION'!B46" display="Table 6.2.2: Electric power generator in schools "/>
    <hyperlink ref="D220" location="'ENERGY,WATER, AND SANITATION'!B65" display="Table 6.2.3: Biogas system in schools "/>
    <hyperlink ref="D222" location="'ENERGY,WATER, AND SANITATION'!B86" display="Table 6.3.1: Tap water supply in schools. "/>
    <hyperlink ref="B229" location="'SCHOOL NUTRITION'!B2" display="7. SCHOOL NUTRITION  "/>
    <hyperlink ref="D231" location="'SCHOOL NUTRITION'!B6" display="Table 7.1.1: Number of learners fed at schools "/>
    <hyperlink ref="D234" location="'SCHOOL NUTRITION'!B22" display="Table 7.2.1: Number of schools providing meals to students "/>
    <hyperlink ref="D236" location="'SCHOOL NUTRITION'!B41" display="Table 7.2.3: Nutrition Garden in schools "/>
    <hyperlink ref="D237" location="'SCHOOL NUTRITION'!B60" display="Table 7.2.4: Type of fuel used for cooking in schools in 2020/21 "/>
    <hyperlink ref="B238" location="'SPECIAL NEEDS EDUCATION'!B2" display="8. SPECIAL NEEDS EDUCATION"/>
    <hyperlink ref="D240" location="'SPECIAL NEEDS EDUCATION'!B6" display="Table 8.1.1: Adapted infrastructure and materials for learners with disability  "/>
    <hyperlink ref="D241" location="'SPECIAL NEEDS EDUCATION'!B25" display="Table 8.1.2: Accessible toilets for people with disability "/>
    <hyperlink ref="D242" location="'SPECIAL NEEDS EDUCATION'!B44" display="Table 8.1.3: Availability of girls’ room "/>
    <hyperlink ref="D244" location="'SPECIAL NEEDS EDUCATION'!B62" display="Table 8.2.1: Total Staff trained in special needs and inclusive education. "/>
    <hyperlink ref="D245" location="'SPECIAL NEEDS EDUCATION'!B77" display="Table 8.2.2: Teaching staff trained in special needs and inclusive education "/>
    <hyperlink ref="B330" location="ANNEXES!B2" display="ANNEX "/>
    <hyperlink ref="D57" location="LEARNERS!B24" display="LEARNERS!B24"/>
    <hyperlink ref="D27" location="'SCHOOL INFRASTRUCTURE'!B160" display="Table 1.3.1: Number of schools with preprimary level by owner"/>
    <hyperlink ref="D28" location="'SCHOOL INFRASTRUCTURE'!B180" display="Table 1.3.2: Number of schools with primary level by owner"/>
    <hyperlink ref="D29" location="'SCHOOL INFRASTRUCTURE'!B200" display="Table 1.3.3: Number of Gen. and prof. secondary schools by owner "/>
    <hyperlink ref="D30" location="'SCHOOL INFRASTRUCTURE'!B220" display="Table 1.3.4: Number of schools with TVET level by owner"/>
    <hyperlink ref="D31" location="'SCHOOL INFRASTRUCTURE'!B240" display="Table 1.3.5: Number of adult literacy centers by owner"/>
    <hyperlink ref="D52" location="'SCHOOL INFRASTRUCTURE'!B450" display="Table 1.6.1: Game and materials for Pre-Primary level in 2021/22"/>
    <hyperlink ref="D53" location="'SCHOOL INFRASTRUCTURE'!B472" display="Table 1.6.2: Sport facilities in primary and secondary schools in 2021/22"/>
    <hyperlink ref="D58" location="LEARNERS!B45" display="Table 2.1.3: Number of preprimary pupils"/>
    <hyperlink ref="D59" location="LEARNERS!B63" display="Table 2.1.4: Primary school pupils by school status"/>
    <hyperlink ref="D60" location="LEARNERS!B81" display="Table 2.1.5: Number of lower secondary students"/>
    <hyperlink ref="D61" location="LEARNERS!B99" display="Table 2.1.6: Number of general and professional upper secondary students"/>
    <hyperlink ref="D62" location="LEARNERS!B117" display="Table 2.1.7: Total TVET trainees in level I to 5"/>
    <hyperlink ref="D63" location="LEARNERS!B135" display="Table 2.1.8: Number of students in TVET schools and accounting"/>
    <hyperlink ref="D64" location="LEARNERS!B152" display="Table 2.1.9: Higher education Institution students"/>
    <hyperlink ref="D65" location="LEARNERS!B171" display="Table 2.1.10: Students enrolled in Polytechnics"/>
    <hyperlink ref="D66" location="LEARNERS!B190" display="Table 2.1.11: Students enrolled in General Higher Education"/>
    <hyperlink ref="D67" location="LEARNERS!B209" display="Table 2.1.12: Learners in adult literacy centers"/>
    <hyperlink ref="D149" location="'SCHOOL  STAFF'!B59" display="Table 3.2.1: Teaching staff in Preprimary, primary, secondary, TVET L1-L5"/>
    <hyperlink ref="D150" location="'SCHOOL  STAFF'!B77" display="Table 3.2.2: Pre-primary school teaching staff by school's status"/>
    <hyperlink ref="D151" location="'SCHOOL  STAFF'!B95" display="Table 3.2.3: Primary school teaching staff by school status"/>
    <hyperlink ref="D152" location="'SCHOOL  STAFF'!B113" display="Table 3.2.4: Number of Gen. and Prof. secondary teaching staff by school status"/>
    <hyperlink ref="D153" location="'SCHOOL  STAFF'!B131" display="Table 3.2.5: Number of TVET L1 to L5 teaching staff by school status"/>
    <hyperlink ref="D154" location="'SCHOOL  STAFF'!B149" display="Table 3.2.6: Number of Higher education academic staff"/>
    <hyperlink ref="D155" location="'SCHOOL  STAFF'!B168" display="Table 3.2.7: Instructors in adult literacy centers"/>
    <hyperlink ref="D156" location="'SCHOOL  STAFF'!B186" display="Table 3.2.8: Pupil teacher ratio"/>
    <hyperlink ref="D180" location="'SCHOOL  STAFF'!B481" display="Table 3.6.1: Trained teachers in Preprimary education"/>
    <hyperlink ref="D181" location="'SCHOOL  STAFF'!B497" display="Table 3.6.2: Trained teaching staff in Primary education"/>
    <hyperlink ref="D182" location="'SCHOOL  STAFF'!B513" display="Table 3.6.3: Trained teaching staff in Gen. and prof. Secondary education"/>
    <hyperlink ref="D183" location="'SCHOOL  STAFF'!B529" display="Table 3.6.4: Trained teaching staff in TVET"/>
    <hyperlink ref="D184" location="'SCHOOL  STAFF'!B545" display="Table 3.6.5: Number of adult literacy instructors who received in service training"/>
    <hyperlink ref="D185" location="'SCHOOL  STAFF'!B561" display="Table 3.6.6: Pupil trained teacher ratio"/>
    <hyperlink ref="D186" location="'SCHOOL  STAFF'!B570" display="Table 3.6.7: Gender parity index in percentage of trained teacher"/>
    <hyperlink ref="D223" location="'ENERGY,WATER, AND SANITATION'!B105" display="Table 6.3.2: Safe drinking water in schools "/>
    <hyperlink ref="D224" location="'ENERGY,WATER, AND SANITATION'!B124" display="Table 6.3.3: Rainwater harvesting system in schools."/>
    <hyperlink ref="D226" location="'ENERGY,WATER, AND SANITATION'!B145" display="Table 6.4.1: Availability of handwashing "/>
    <hyperlink ref="D227" location="'ENERGY,WATER, AND SANITATION'!B164" display="Table 6.4.2: Availability of single sex toilets"/>
    <hyperlink ref="D228" location="'ENERGY,WATER, AND SANITATION'!B183" display="Table 6.4.3: Toilets in Preprimary, Primary Secondary and TVET schools"/>
    <hyperlink ref="D247" location="'SPECIAL NEEDS EDUCATION'!B97" display="Table 8.3.1: Total number of learners with disability "/>
    <hyperlink ref="D248" location="'SPECIAL NEEDS EDUCATION'!B135" display="Table 8.3.2: Total number of learners with disability by type "/>
    <hyperlink ref="D249" location="'SPECIAL NEEDS EDUCATION'!B150" display="Table 8.3.3: Learners with disability in pre-primary and primary by type in 2021/22"/>
    <hyperlink ref="D250" location="'SPECIAL NEEDS EDUCATION'!B164" display="Table 8.3.4: Learners with disability in secondary  and TVET by type in 2021/22"/>
    <hyperlink ref="D251" location="'SPECIAL NEEDS EDUCATION'!B178" display="Table 8.3.5: Learners with disability in Higher education and adult literacy by type in 2021/22"/>
    <hyperlink ref="D323" location="'SPECIAL NEEDS EDUCATION'!B196" display="Table 8.4.1: Number of Refugee students by levels of education"/>
    <hyperlink ref="D324" location="'SPECIAL NEEDS EDUCATION'!B217" display="Table 8.4.2: Number of Refugee students by school status"/>
    <hyperlink ref="D326" location="'SPECIAL NEEDS EDUCATION'!B237" display="Table 8.5.1: Number of orphans learners by level of education"/>
    <hyperlink ref="D327" location="'SPECIAL NEEDS EDUCATION'!B258" display="Table 8.5.2: Number of orphan learners by schools’ status"/>
    <hyperlink ref="D329" location="'SPECIAL NEEDS EDUCATION'!B278" display="Table 8.6.1: Learners in correctional centers "/>
    <hyperlink ref="C331" location="ANNEXES!B4" display="Annex 1: Number of schools with Preprimary level by district"/>
    <hyperlink ref="C332" location="ANNEXES!B44" display="Annex 2: Number of schools with Primary level by district"/>
    <hyperlink ref="C333" location="ANNEXES!B84" display="Annex 3: Number of schools with general &amp; professional secondary level by district"/>
    <hyperlink ref="C334" location="ANNEXES!B124" display="Annex 4: Number of schools with TVET L1 to 5 by district"/>
    <hyperlink ref="C335" location="ANNEXES!B164" display="Annex 5: Number of Higher education campuses per districts"/>
    <hyperlink ref="C336" location="ANNEXES!B204" display="Annex 6: Number of Adult literacy centers by district"/>
    <hyperlink ref="C337" location="ANNEXES!B244" display="Annex 7: Number of classrooms in use in Preprimary by district"/>
    <hyperlink ref="C338" location="ANNEXES!B284" display="Annex 8: Number of classrooms in use in Primary by district"/>
    <hyperlink ref="C339" location="ANNEXES!B324" display="Annex 9: Number of classrooms in use in general and professional secondary"/>
    <hyperlink ref="C340" location="ANNEXES!B364" display="Annex 10: Number of classrooms in use in TVET L1 to L5 by district"/>
    <hyperlink ref="C341" location="ANNEXES!B404" display="Annex 11: Number of Preprimary pupils per district"/>
    <hyperlink ref="C342" location="ANNEXES!B445" display="Annex 12: Number of enrolled Primary pupils by District"/>
    <hyperlink ref="C343" location="ANNEXES!B486" display="Annex 13: Number of students in general secondary schools by district"/>
    <hyperlink ref="C344" location="ANNEXES!B527" display="Annex 14: Number of TVET L1 to L5 Trainees by district"/>
    <hyperlink ref="C345" location="ANNEXES!B568" display="Annex 15: Number of Higher education students per districts"/>
    <hyperlink ref="C346" location="ANNEXES!B609" display="Annex 16: Number of adult literacy learners by district"/>
    <hyperlink ref="C347" location="ANNEXES!B650" display="Annex 17: Promotion rate by grade"/>
    <hyperlink ref="C348" location="ANNEXES!B681" display="Annex 18:Repetition rate per grade"/>
    <hyperlink ref="C349" location="ANNEXES!B721" display="Annex 19: Dropout rate per grade"/>
    <hyperlink ref="C350" location="ANNEXES!B752" display="Annex 20: Number of Preprimary Teaching staff per district"/>
    <hyperlink ref="C351" location="ANNEXES!B793" display="Annex 21: Number of Primary Teaching staff by District"/>
    <hyperlink ref="C352" location="ANNEXES!B834" display="Annex 22: Number Teaching staff in general secondary by district"/>
    <hyperlink ref="C353" location="ANNEXES!B875" display="Annex 23: Number of TVET L1 to L5 Teaching staff by district"/>
    <hyperlink ref="C354" location="ANNEXES!B916" display="Annex 24: Number of Adult literacy instructors by district"/>
    <hyperlink ref="D33" location="'SCHOOL INFRASTRUCTURE'!B240" display="Table 1.3.7:  Availability of girls’ room"/>
    <hyperlink ref="D32" location="'SCHOOL INFRASTRUCTURE'!B220" display="Table 1.3.6: Number and Percentage of schools meeting the Standard PCR "/>
    <hyperlink ref="D235" location="'SCHOOL NUTRITION'!B22" display="Table 7.2.2: Schools providing meals to students By School status"/>
    <hyperlink ref="D232" location="'SCHOOL NUTRITION'!B6" display="Table 7.1.2: Number of learners fed at schools By school status "/>
    <hyperlink ref="B259" location="ANNEXES!B2" display="ANNEX "/>
    <hyperlink ref="D252" location="'SPECIAL NEEDS EDUCATION'!B196" display="Table 8.4.1: Number of Refugee students by levels of education"/>
    <hyperlink ref="D253" location="'SPECIAL NEEDS EDUCATION'!B217" display="Table 8.4.2: Number of Refugee students by school status"/>
    <hyperlink ref="D255" location="'SPECIAL NEEDS EDUCATION'!B237" display="Table 8.5.1: Number of orphans learners by level of education"/>
    <hyperlink ref="D256" location="'SPECIAL NEEDS EDUCATION'!B258" display="Table 8.5.2: Number of orphan learners by schools’ status"/>
    <hyperlink ref="D258" location="'SPECIAL NEEDS EDUCATION'!B278" display="Table 8.6.1: Learners in correctional centers "/>
    <hyperlink ref="C260" location="ANNEXES!B4" display="Annex 1: Number of schools with Preprimary level by district"/>
    <hyperlink ref="C261" location="ANNEXES!B44" display="Annex 2: Number of schools with Primary level by district"/>
    <hyperlink ref="C262" location="ANNEXES!B84" display="Annex 3: Number of schools with general &amp; professional secondary level by district"/>
    <hyperlink ref="C263" location="ANNEXES!B124" display="Annex 4: Number of schools with TVET L1 to 5 by district"/>
    <hyperlink ref="C264" location="ANNEXES!B164" display="Annex 5: Number of Higher education campuses per districts"/>
    <hyperlink ref="C265" location="ANNEXES!B204" display="Annex 6: Number of Adult literacy centers by district"/>
    <hyperlink ref="C266" location="ANNEXES!B244" display="Annex 7: Number of classrooms in use in Preprimary by district"/>
    <hyperlink ref="C267" location="ANNEXES!B284" display="Annex 8: Number of classrooms in use in Primary by district"/>
    <hyperlink ref="C268" location="ANNEXES!B324" display="Annex 9: Number of classrooms in use in general and professional secondary"/>
    <hyperlink ref="C269" location="ANNEXES!B364" display="Annex 10: Number of classrooms in use in TVET L1 to L5 by district"/>
    <hyperlink ref="C270" location="ANNEXES!B404" display="Annex 11: Number of Preprimary pupils per district"/>
    <hyperlink ref="C271" location="ANNEXES!B445" display="Annex 12: Number of enrolled Primary pupils by District"/>
    <hyperlink ref="C272" location="ANNEXES!B486" display="Annex 13: Number of students in general secondary schools by district"/>
    <hyperlink ref="C273" location="ANNEXES!B527" display="Annex 14: Number of TVET L1 to L5 Trainees by district"/>
    <hyperlink ref="C274" location="ANNEXES!B568" display="Annex 15: Number of Higher education students per districts"/>
    <hyperlink ref="C275" location="ANNEXES!B609" display="Annex 16: Number of adult literacy learners by district"/>
    <hyperlink ref="C276" location="ANNEXES!B650" display="Annex 17: Promotion rate by grade"/>
    <hyperlink ref="C278" location="ANNEXES!B721" display="Annex 19: Dropout rate per grade"/>
    <hyperlink ref="C279" location="ANNEXES!B752" display="Annex 20: Number of Preprimary Teaching staff per district"/>
    <hyperlink ref="C280" location="ANNEXES!B793" display="Annex 21: Number of Primary Teaching staff by District"/>
    <hyperlink ref="C281" location="ANNEXES!B834" display="Annex 22: Number Teaching staff in general secondary by district"/>
    <hyperlink ref="C282" location="ANNEXES!B875" display="Annex 23: Number of TVET L1 to L5 Teaching staff by district"/>
    <hyperlink ref="C283" location="ANNEXES!B916" display="Annex 24: Number of Adult literacy instructors by district"/>
    <hyperlink ref="D162" location="'SCHOOL  STAFF'!B249" display="Table 3.4.1: Preprimary, primary, secondary and TVET L1 to L5  total  staff by qualification"/>
    <hyperlink ref="D163" location="'SCHOOL  STAFF'!B273" display="Table 3.4.2: Preprimary, primary, secondary and TVET L1 to L5  teaching  staff by qualification "/>
    <hyperlink ref="D166" location="'SCHOOL  STAFF'!B342" display="Table 3.4.5: Number of primary teaching  staff by qualification"/>
    <hyperlink ref="D165" location="'SCHOOL  STAFF'!B319" display="Table 3.4.4: Number of preprimary teaching staff by qualification "/>
    <hyperlink ref="D164" location="'SCHOOL  STAFF'!B319" display="'SCHOOL  STAFF'!B319"/>
    <hyperlink ref="D167" location="'SCHOOL  STAFF'!B296" display="'SCHOOL  STAFF'!B296"/>
    <hyperlink ref="D168" location="'SCHOOL  STAFF'!B319" display="'SCHOOL  STAFF'!B319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6"/>
  <sheetViews>
    <sheetView showGridLines="0" topLeftCell="C46" workbookViewId="0">
      <selection activeCell="D53" sqref="D53"/>
    </sheetView>
  </sheetViews>
  <sheetFormatPr defaultColWidth="8.7265625" defaultRowHeight="17.149999999999999" customHeight="1"/>
  <cols>
    <col min="1" max="1" width="8.7265625" style="52"/>
    <col min="2" max="2" width="55" style="52" customWidth="1"/>
    <col min="3" max="3" width="17.26953125" style="52" customWidth="1"/>
    <col min="4" max="4" width="16.1796875" style="52" customWidth="1"/>
    <col min="5" max="5" width="15.08984375" style="52" bestFit="1" customWidth="1"/>
    <col min="6" max="6" width="14.7265625" style="52" customWidth="1"/>
    <col min="7" max="7" width="11.81640625" style="52" customWidth="1"/>
    <col min="8" max="9" width="8.7265625" style="52"/>
    <col min="10" max="10" width="15.81640625" style="52" customWidth="1"/>
    <col min="11" max="16384" width="8.7265625" style="52"/>
  </cols>
  <sheetData>
    <row r="1" spans="2:11" ht="17.149999999999999" customHeight="1">
      <c r="B1" s="51"/>
    </row>
    <row r="2" spans="2:11" ht="17.149999999999999" customHeight="1">
      <c r="B2" s="51" t="s">
        <v>1</v>
      </c>
    </row>
    <row r="3" spans="2:11" ht="17.149999999999999" customHeight="1">
      <c r="B3" s="51"/>
    </row>
    <row r="4" spans="2:11" ht="17.149999999999999" customHeight="1">
      <c r="B4" s="53" t="s">
        <v>254</v>
      </c>
    </row>
    <row r="5" spans="2:11" ht="17.149999999999999" customHeight="1">
      <c r="B5" s="54" t="s">
        <v>255</v>
      </c>
      <c r="C5" s="531" t="s">
        <v>256</v>
      </c>
      <c r="D5" s="531" t="s">
        <v>257</v>
      </c>
    </row>
    <row r="6" spans="2:11" ht="17.149999999999999" customHeight="1">
      <c r="B6" s="55" t="s">
        <v>258</v>
      </c>
      <c r="C6" s="554">
        <v>3808</v>
      </c>
      <c r="D6" s="554">
        <v>4051</v>
      </c>
      <c r="J6" s="56"/>
    </row>
    <row r="7" spans="2:11" ht="17.149999999999999" customHeight="1">
      <c r="B7" s="55" t="s">
        <v>259</v>
      </c>
      <c r="C7" s="555">
        <v>3831</v>
      </c>
      <c r="D7" s="555">
        <v>3932</v>
      </c>
      <c r="K7" s="57"/>
    </row>
    <row r="8" spans="2:11" ht="17.149999999999999" customHeight="1">
      <c r="B8" s="551" t="s">
        <v>260</v>
      </c>
      <c r="C8" s="554">
        <v>1955</v>
      </c>
      <c r="D8" s="554">
        <v>1977</v>
      </c>
    </row>
    <row r="9" spans="2:11" ht="17.149999999999999" customHeight="1">
      <c r="B9" s="55" t="s">
        <v>261</v>
      </c>
      <c r="C9" s="555">
        <v>422</v>
      </c>
      <c r="D9" s="555">
        <v>470</v>
      </c>
    </row>
    <row r="10" spans="2:11" ht="17.149999999999999" customHeight="1">
      <c r="B10" s="55" t="s">
        <v>262</v>
      </c>
      <c r="C10" s="532">
        <v>8</v>
      </c>
      <c r="D10" s="532">
        <v>8</v>
      </c>
    </row>
    <row r="11" spans="2:11" ht="17.149999999999999" customHeight="1">
      <c r="B11" s="55" t="s">
        <v>263</v>
      </c>
      <c r="C11" s="555">
        <v>31</v>
      </c>
      <c r="D11" s="555">
        <v>32</v>
      </c>
    </row>
    <row r="12" spans="2:11" ht="17.149999999999999" customHeight="1">
      <c r="B12" s="55" t="s">
        <v>264</v>
      </c>
      <c r="C12" s="804">
        <v>5076</v>
      </c>
      <c r="D12" s="804">
        <v>5003</v>
      </c>
    </row>
    <row r="13" spans="2:11" ht="17.149999999999999" customHeight="1">
      <c r="B13" s="102" t="s">
        <v>265</v>
      </c>
    </row>
    <row r="14" spans="2:11" ht="17.149999999999999" customHeight="1">
      <c r="B14" s="58" t="s">
        <v>266</v>
      </c>
    </row>
    <row r="16" spans="2:11" ht="17.149999999999999" customHeight="1">
      <c r="B16" s="59" t="s">
        <v>267</v>
      </c>
    </row>
    <row r="17" spans="2:4" ht="17.149999999999999" customHeight="1">
      <c r="B17" s="360" t="s">
        <v>268</v>
      </c>
      <c r="C17" s="530" t="s">
        <v>269</v>
      </c>
      <c r="D17" s="531" t="s">
        <v>270</v>
      </c>
    </row>
    <row r="18" spans="2:4" ht="17.149999999999999" customHeight="1">
      <c r="B18" s="475" t="s">
        <v>271</v>
      </c>
      <c r="C18" s="554">
        <v>8358</v>
      </c>
      <c r="D18" s="554">
        <v>10726</v>
      </c>
    </row>
    <row r="19" spans="2:4" ht="17.149999999999999" customHeight="1">
      <c r="B19" s="475" t="s">
        <v>272</v>
      </c>
      <c r="C19" s="555">
        <v>46010</v>
      </c>
      <c r="D19" s="555">
        <v>49561</v>
      </c>
    </row>
    <row r="20" spans="2:4" ht="17.149999999999999" customHeight="1">
      <c r="B20" s="475" t="s">
        <v>273</v>
      </c>
      <c r="C20" s="554">
        <v>12783</v>
      </c>
      <c r="D20" s="554">
        <v>13189</v>
      </c>
    </row>
    <row r="21" spans="2:4" ht="19.5" customHeight="1">
      <c r="B21" s="475" t="s">
        <v>274</v>
      </c>
      <c r="C21" s="555">
        <v>7182</v>
      </c>
      <c r="D21" s="555">
        <v>7506</v>
      </c>
    </row>
    <row r="22" spans="2:4" ht="17.149999999999999" customHeight="1">
      <c r="B22" s="475" t="s">
        <v>275</v>
      </c>
      <c r="C22" s="532">
        <v>536</v>
      </c>
      <c r="D22" s="532">
        <v>533</v>
      </c>
    </row>
    <row r="23" spans="2:4" ht="17.149999999999999" customHeight="1">
      <c r="B23" s="475" t="s">
        <v>276</v>
      </c>
      <c r="C23" s="555">
        <v>2760</v>
      </c>
      <c r="D23" s="555">
        <v>3220</v>
      </c>
    </row>
    <row r="24" spans="2:4" ht="17.149999999999999" customHeight="1">
      <c r="B24" s="487" t="s">
        <v>277</v>
      </c>
      <c r="C24" s="556">
        <v>77629</v>
      </c>
      <c r="D24" s="556">
        <f>SUM(D18:D23)</f>
        <v>84735</v>
      </c>
    </row>
    <row r="25" spans="2:4" ht="17.149999999999999" customHeight="1">
      <c r="B25" s="103" t="s">
        <v>278</v>
      </c>
    </row>
    <row r="26" spans="2:4" ht="17.149999999999999" customHeight="1">
      <c r="B26" s="60"/>
    </row>
    <row r="27" spans="2:4" ht="17.149999999999999" customHeight="1">
      <c r="B27" s="59" t="s">
        <v>279</v>
      </c>
    </row>
    <row r="28" spans="2:4" ht="17.149999999999999" customHeight="1">
      <c r="B28" s="360" t="s">
        <v>280</v>
      </c>
      <c r="C28" s="530" t="s">
        <v>269</v>
      </c>
      <c r="D28" s="531" t="s">
        <v>270</v>
      </c>
    </row>
    <row r="29" spans="2:4" ht="17.149999999999999" customHeight="1">
      <c r="B29" s="488" t="s">
        <v>281</v>
      </c>
      <c r="C29" s="565">
        <v>355325</v>
      </c>
      <c r="D29" s="563">
        <v>540998</v>
      </c>
    </row>
    <row r="30" spans="2:4" ht="17.149999999999999" customHeight="1">
      <c r="B30" s="488" t="s">
        <v>282</v>
      </c>
      <c r="C30" s="565">
        <v>2742901</v>
      </c>
      <c r="D30" s="563">
        <v>2838343</v>
      </c>
    </row>
    <row r="31" spans="2:4" ht="17.149999999999999" customHeight="1">
      <c r="B31" s="488" t="s">
        <v>283</v>
      </c>
      <c r="C31" s="565">
        <v>540671</v>
      </c>
      <c r="D31" s="563">
        <v>536427</v>
      </c>
    </row>
    <row r="32" spans="2:4" ht="17.149999999999999" customHeight="1">
      <c r="B32" s="488" t="s">
        <v>284</v>
      </c>
      <c r="C32" s="565">
        <v>259822</v>
      </c>
      <c r="D32" s="563">
        <v>283287</v>
      </c>
    </row>
    <row r="33" spans="2:4" ht="17.149999999999999" customHeight="1">
      <c r="B33" s="489" t="s">
        <v>285</v>
      </c>
      <c r="C33" s="566">
        <v>168595</v>
      </c>
      <c r="D33" s="567">
        <v>170399</v>
      </c>
    </row>
    <row r="34" spans="2:4" ht="17.149999999999999" customHeight="1">
      <c r="B34" s="475" t="s">
        <v>286</v>
      </c>
      <c r="C34" s="568">
        <v>99630</v>
      </c>
      <c r="D34" s="562">
        <v>104668</v>
      </c>
    </row>
    <row r="35" spans="2:4" ht="17.149999999999999" customHeight="1">
      <c r="B35" s="475" t="s">
        <v>287</v>
      </c>
      <c r="C35" s="557">
        <v>32671</v>
      </c>
      <c r="D35" s="562">
        <v>33943</v>
      </c>
    </row>
    <row r="36" spans="2:4" ht="17.149999999999999" customHeight="1">
      <c r="B36" s="475" t="s">
        <v>288</v>
      </c>
      <c r="C36" s="557">
        <v>36294</v>
      </c>
      <c r="D36" s="562">
        <v>31788</v>
      </c>
    </row>
    <row r="37" spans="2:4" ht="17.149999999999999" customHeight="1">
      <c r="B37" s="489" t="s">
        <v>289</v>
      </c>
      <c r="C37" s="566">
        <v>21065</v>
      </c>
      <c r="D37" s="569">
        <v>23172</v>
      </c>
    </row>
    <row r="38" spans="2:4" ht="17.149999999999999" customHeight="1">
      <c r="B38" s="475" t="s">
        <v>290</v>
      </c>
      <c r="C38" s="568">
        <v>11565</v>
      </c>
      <c r="D38" s="570">
        <v>12701</v>
      </c>
    </row>
    <row r="39" spans="2:4" ht="17.149999999999999" customHeight="1">
      <c r="B39" s="475" t="s">
        <v>291</v>
      </c>
      <c r="C39" s="568">
        <v>209</v>
      </c>
      <c r="D39" s="570">
        <v>657</v>
      </c>
    </row>
    <row r="40" spans="2:4" ht="17.149999999999999" customHeight="1">
      <c r="B40" s="475" t="s">
        <v>292</v>
      </c>
      <c r="C40" s="568">
        <v>9291</v>
      </c>
      <c r="D40" s="570">
        <v>9814</v>
      </c>
    </row>
    <row r="41" spans="2:4" ht="17.149999999999999" customHeight="1">
      <c r="B41" s="489" t="s">
        <v>293</v>
      </c>
      <c r="C41" s="566">
        <v>70162</v>
      </c>
      <c r="D41" s="567">
        <v>89264</v>
      </c>
    </row>
    <row r="42" spans="2:4" ht="17.149999999999999" customHeight="1">
      <c r="B42" s="488" t="s">
        <v>294</v>
      </c>
      <c r="C42" s="565">
        <v>95863</v>
      </c>
      <c r="D42" s="565">
        <v>119716</v>
      </c>
    </row>
    <row r="43" spans="2:4" ht="17.149999999999999" customHeight="1">
      <c r="B43" s="475" t="s">
        <v>295</v>
      </c>
      <c r="C43" s="571">
        <v>13393</v>
      </c>
      <c r="D43" s="572">
        <v>13587</v>
      </c>
    </row>
    <row r="44" spans="2:4" ht="17.149999999999999" customHeight="1">
      <c r="B44" s="475" t="s">
        <v>296</v>
      </c>
      <c r="C44" s="571">
        <v>82470</v>
      </c>
      <c r="D44" s="572">
        <v>106129</v>
      </c>
    </row>
    <row r="45" spans="2:4" ht="17.149999999999999" customHeight="1">
      <c r="B45" s="488" t="s">
        <v>297</v>
      </c>
      <c r="C45" s="565">
        <v>13296</v>
      </c>
      <c r="D45" s="563">
        <v>14291</v>
      </c>
    </row>
    <row r="46" spans="2:4" ht="17.149999999999999" customHeight="1">
      <c r="B46" s="488" t="s">
        <v>298</v>
      </c>
      <c r="C46" s="565">
        <v>35876</v>
      </c>
      <c r="D46" s="563">
        <v>14613</v>
      </c>
    </row>
    <row r="47" spans="2:4" ht="17.149999999999999" customHeight="1">
      <c r="B47" s="488" t="s">
        <v>299</v>
      </c>
      <c r="C47" s="565">
        <v>116028</v>
      </c>
      <c r="D47" s="563">
        <v>109196</v>
      </c>
    </row>
    <row r="48" spans="2:4" ht="17.149999999999999" customHeight="1">
      <c r="B48" s="487" t="s">
        <v>300</v>
      </c>
      <c r="C48" s="558">
        <v>4159782</v>
      </c>
      <c r="D48" s="564">
        <v>4456419</v>
      </c>
    </row>
    <row r="49" spans="2:4" ht="17.149999999999999" customHeight="1">
      <c r="B49" s="103" t="s">
        <v>278</v>
      </c>
    </row>
    <row r="50" spans="2:4" ht="17.149999999999999" customHeight="1">
      <c r="B50" s="60"/>
    </row>
    <row r="51" spans="2:4" ht="17.149999999999999" customHeight="1">
      <c r="B51" s="61" t="s">
        <v>301</v>
      </c>
    </row>
    <row r="52" spans="2:4" ht="17.149999999999999" customHeight="1">
      <c r="B52" s="360" t="s">
        <v>302</v>
      </c>
      <c r="C52" s="449" t="s">
        <v>303</v>
      </c>
      <c r="D52" s="533" t="s">
        <v>270</v>
      </c>
    </row>
    <row r="53" spans="2:4" ht="17.149999999999999" customHeight="1">
      <c r="B53" s="490" t="s">
        <v>304</v>
      </c>
      <c r="C53" s="559">
        <v>110401</v>
      </c>
      <c r="D53" s="559">
        <v>120651</v>
      </c>
    </row>
    <row r="54" spans="2:4" ht="17.149999999999999" customHeight="1">
      <c r="B54" s="367" t="s">
        <v>305</v>
      </c>
      <c r="C54" s="554">
        <v>7351</v>
      </c>
      <c r="D54" s="554">
        <v>9280</v>
      </c>
    </row>
    <row r="55" spans="2:4" ht="17.149999999999999" customHeight="1">
      <c r="B55" s="367" t="s">
        <v>306</v>
      </c>
      <c r="C55" s="555">
        <v>63064</v>
      </c>
      <c r="D55" s="555">
        <v>67539</v>
      </c>
    </row>
    <row r="56" spans="2:4" ht="17.149999999999999" customHeight="1">
      <c r="B56" s="367" t="s">
        <v>307</v>
      </c>
      <c r="C56" s="554">
        <v>25468</v>
      </c>
      <c r="D56" s="554">
        <v>28140</v>
      </c>
    </row>
    <row r="57" spans="2:4" ht="17.149999999999999" customHeight="1">
      <c r="B57" s="367" t="s">
        <v>308</v>
      </c>
      <c r="C57" s="555">
        <v>4151</v>
      </c>
      <c r="D57" s="555">
        <v>5501</v>
      </c>
    </row>
    <row r="58" spans="2:4" ht="17.149999999999999" customHeight="1">
      <c r="B58" s="367" t="s">
        <v>309</v>
      </c>
      <c r="C58" s="532">
        <v>1102</v>
      </c>
      <c r="D58" s="532">
        <v>1041</v>
      </c>
    </row>
    <row r="59" spans="2:4" ht="17.149999999999999" customHeight="1">
      <c r="B59" s="367" t="s">
        <v>310</v>
      </c>
      <c r="C59" s="555">
        <v>3200</v>
      </c>
      <c r="D59" s="555">
        <v>3333</v>
      </c>
    </row>
    <row r="60" spans="2:4" ht="17.149999999999999" customHeight="1">
      <c r="B60" s="367" t="s">
        <v>311</v>
      </c>
      <c r="C60" s="554">
        <v>6083</v>
      </c>
      <c r="D60" s="554">
        <v>5817</v>
      </c>
    </row>
    <row r="61" spans="2:4" ht="17.149999999999999" customHeight="1">
      <c r="B61" s="490" t="s">
        <v>312</v>
      </c>
      <c r="C61" s="559">
        <v>15220</v>
      </c>
      <c r="D61" s="559">
        <v>17387</v>
      </c>
    </row>
    <row r="62" spans="2:4" ht="17.149999999999999" customHeight="1">
      <c r="B62" s="813" t="s">
        <v>313</v>
      </c>
      <c r="C62" s="816">
        <v>13272</v>
      </c>
      <c r="D62" s="815">
        <v>15002</v>
      </c>
    </row>
    <row r="63" spans="2:4" ht="17.149999999999999" customHeight="1">
      <c r="B63" s="814"/>
      <c r="C63" s="817"/>
      <c r="D63" s="815"/>
    </row>
    <row r="64" spans="2:4" ht="17.149999999999999" customHeight="1">
      <c r="B64" s="367" t="s">
        <v>309</v>
      </c>
      <c r="C64" s="555">
        <v>390</v>
      </c>
      <c r="D64" s="554">
        <v>481</v>
      </c>
    </row>
    <row r="65" spans="2:4" ht="17.149999999999999" customHeight="1">
      <c r="B65" s="367" t="s">
        <v>310</v>
      </c>
      <c r="C65" s="554">
        <v>1558</v>
      </c>
      <c r="D65" s="554">
        <v>1904</v>
      </c>
    </row>
    <row r="66" spans="2:4" ht="17.149999999999999" customHeight="1">
      <c r="B66" s="561" t="s">
        <v>315</v>
      </c>
      <c r="C66" s="560">
        <v>125621</v>
      </c>
      <c r="D66" s="560">
        <v>138038</v>
      </c>
    </row>
  </sheetData>
  <mergeCells count="3">
    <mergeCell ref="B62:B63"/>
    <mergeCell ref="D62:D63"/>
    <mergeCell ref="C62:C6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34"/>
  <sheetViews>
    <sheetView showGridLines="0" zoomScale="99" zoomScaleNormal="99" workbookViewId="0">
      <selection activeCell="B312" sqref="B312"/>
    </sheetView>
  </sheetViews>
  <sheetFormatPr defaultColWidth="8.7265625" defaultRowHeight="17.5" customHeight="1"/>
  <cols>
    <col min="1" max="1" width="8.7265625" style="28"/>
    <col min="2" max="2" width="68.6328125" style="28" customWidth="1"/>
    <col min="3" max="3" width="12.1796875" style="28" customWidth="1"/>
    <col min="4" max="4" width="14" style="28" customWidth="1"/>
    <col min="5" max="5" width="19.54296875" style="28" customWidth="1"/>
    <col min="6" max="6" width="14" style="28" customWidth="1"/>
    <col min="7" max="7" width="11.453125" style="28" customWidth="1"/>
    <col min="8" max="8" width="11.26953125" style="28" customWidth="1"/>
    <col min="9" max="9" width="9.90625" style="28" bestFit="1" customWidth="1"/>
    <col min="10" max="16384" width="8.7265625" style="28"/>
  </cols>
  <sheetData>
    <row r="2" spans="2:9" ht="17.5" customHeight="1">
      <c r="B2" s="26" t="s">
        <v>2</v>
      </c>
    </row>
    <row r="4" spans="2:9" ht="17.5" customHeight="1">
      <c r="B4" s="25" t="s">
        <v>3</v>
      </c>
    </row>
    <row r="6" spans="2:9" ht="17.5" customHeight="1">
      <c r="B6" s="444" t="s">
        <v>316</v>
      </c>
      <c r="C6" s="93"/>
      <c r="D6" s="93"/>
      <c r="E6" s="93"/>
      <c r="F6" s="93"/>
      <c r="G6" s="93"/>
      <c r="I6" s="94"/>
    </row>
    <row r="7" spans="2:9" ht="17.5" customHeight="1">
      <c r="B7" s="83" t="s">
        <v>317</v>
      </c>
      <c r="C7" s="84" t="s">
        <v>318</v>
      </c>
      <c r="D7" s="84" t="s">
        <v>319</v>
      </c>
      <c r="E7" s="84" t="s">
        <v>320</v>
      </c>
      <c r="F7" s="84" t="s">
        <v>321</v>
      </c>
      <c r="G7" s="326" t="s">
        <v>322</v>
      </c>
      <c r="H7" s="327" t="s">
        <v>257</v>
      </c>
      <c r="I7" s="94"/>
    </row>
    <row r="8" spans="2:9" ht="17.5" customHeight="1">
      <c r="B8" s="37" t="s">
        <v>323</v>
      </c>
      <c r="C8" s="34">
        <v>4719</v>
      </c>
      <c r="D8" s="34">
        <v>4571</v>
      </c>
      <c r="E8" s="34">
        <v>4706</v>
      </c>
      <c r="F8" s="34">
        <v>5144</v>
      </c>
      <c r="G8" s="34">
        <v>4842</v>
      </c>
      <c r="H8" s="34">
        <v>4923</v>
      </c>
      <c r="I8" s="94"/>
    </row>
    <row r="9" spans="2:9" ht="17.5" customHeight="1">
      <c r="B9" s="39" t="s">
        <v>324</v>
      </c>
      <c r="C9" s="35">
        <v>3186</v>
      </c>
      <c r="D9" s="35">
        <v>3210</v>
      </c>
      <c r="E9" s="35">
        <v>3401</v>
      </c>
      <c r="F9" s="35">
        <v>3741</v>
      </c>
      <c r="G9" s="35">
        <v>3808</v>
      </c>
      <c r="H9" s="525">
        <v>4051</v>
      </c>
      <c r="I9" s="94"/>
    </row>
    <row r="10" spans="2:9" ht="17.5" customHeight="1">
      <c r="B10" s="39" t="s">
        <v>325</v>
      </c>
      <c r="C10" s="35">
        <v>2877</v>
      </c>
      <c r="D10" s="35">
        <v>2909</v>
      </c>
      <c r="E10" s="35">
        <v>2961</v>
      </c>
      <c r="F10" s="35">
        <v>3691</v>
      </c>
      <c r="G10" s="35">
        <v>3831</v>
      </c>
      <c r="H10" s="525">
        <v>3932</v>
      </c>
    </row>
    <row r="11" spans="2:9" ht="17.5" customHeight="1">
      <c r="B11" s="39" t="s">
        <v>326</v>
      </c>
      <c r="C11" s="35">
        <v>1567</v>
      </c>
      <c r="D11" s="35">
        <v>1416</v>
      </c>
      <c r="E11" s="35">
        <v>1452</v>
      </c>
      <c r="F11" s="35">
        <v>1869</v>
      </c>
      <c r="G11" s="35">
        <v>1955</v>
      </c>
      <c r="H11" s="525">
        <v>1977</v>
      </c>
    </row>
    <row r="12" spans="2:9" ht="17.5" customHeight="1">
      <c r="B12" s="40" t="s">
        <v>327</v>
      </c>
      <c r="C12" s="32">
        <v>385</v>
      </c>
      <c r="D12" s="32">
        <v>350</v>
      </c>
      <c r="E12" s="32">
        <v>331</v>
      </c>
      <c r="F12" s="32">
        <v>344</v>
      </c>
      <c r="G12" s="32">
        <v>422</v>
      </c>
      <c r="H12" s="32">
        <v>470</v>
      </c>
    </row>
    <row r="13" spans="2:9" ht="17.5" customHeight="1">
      <c r="B13" s="38" t="s">
        <v>328</v>
      </c>
      <c r="C13" s="36">
        <v>17</v>
      </c>
      <c r="D13" s="36">
        <v>10</v>
      </c>
      <c r="E13" s="36">
        <v>10</v>
      </c>
      <c r="F13" s="36">
        <v>8</v>
      </c>
      <c r="G13" s="36">
        <v>8</v>
      </c>
      <c r="H13" s="494">
        <v>8</v>
      </c>
    </row>
    <row r="14" spans="2:9" ht="17.5" customHeight="1">
      <c r="B14" s="38" t="s">
        <v>329</v>
      </c>
      <c r="C14" s="36">
        <v>37</v>
      </c>
      <c r="D14" s="36">
        <v>30</v>
      </c>
      <c r="E14" s="36">
        <v>30</v>
      </c>
      <c r="F14" s="36">
        <v>30</v>
      </c>
      <c r="G14" s="36">
        <v>31</v>
      </c>
      <c r="H14" s="494">
        <v>32</v>
      </c>
    </row>
    <row r="15" spans="2:9" ht="17.5" customHeight="1">
      <c r="B15" s="37" t="s">
        <v>330</v>
      </c>
      <c r="C15" s="34">
        <v>5160</v>
      </c>
      <c r="D15" s="34">
        <v>4991</v>
      </c>
      <c r="E15" s="34">
        <v>5194</v>
      </c>
      <c r="F15" s="34">
        <v>4953</v>
      </c>
      <c r="G15" s="34">
        <v>5076</v>
      </c>
      <c r="H15" s="495">
        <v>5003</v>
      </c>
    </row>
    <row r="16" spans="2:9" ht="17.5" customHeight="1">
      <c r="B16" s="21" t="s">
        <v>331</v>
      </c>
    </row>
    <row r="17" spans="2:8" ht="17.5" customHeight="1">
      <c r="B17" s="28" t="s">
        <v>332</v>
      </c>
    </row>
    <row r="19" spans="2:8" ht="17.5" customHeight="1">
      <c r="B19" s="444" t="s">
        <v>333</v>
      </c>
      <c r="C19" s="497"/>
      <c r="D19" s="497"/>
      <c r="E19" s="497"/>
      <c r="F19" s="497"/>
      <c r="G19" s="497"/>
      <c r="H19" s="498"/>
    </row>
    <row r="20" spans="2:8" ht="17.5" customHeight="1">
      <c r="B20" s="336" t="s">
        <v>334</v>
      </c>
      <c r="C20" s="573">
        <v>2017</v>
      </c>
      <c r="D20" s="573">
        <v>2018</v>
      </c>
      <c r="E20" s="573">
        <v>2019</v>
      </c>
      <c r="F20" s="573" t="s">
        <v>335</v>
      </c>
      <c r="G20" s="573" t="s">
        <v>256</v>
      </c>
      <c r="H20" s="573" t="s">
        <v>257</v>
      </c>
    </row>
    <row r="21" spans="2:8" ht="17.5" customHeight="1">
      <c r="B21" s="337" t="s">
        <v>336</v>
      </c>
      <c r="C21" s="574">
        <v>4719</v>
      </c>
      <c r="D21" s="574">
        <v>4571</v>
      </c>
      <c r="E21" s="574">
        <v>4706</v>
      </c>
      <c r="F21" s="574">
        <v>5144</v>
      </c>
      <c r="G21" s="574">
        <v>4842</v>
      </c>
      <c r="H21" s="574">
        <v>4923</v>
      </c>
    </row>
    <row r="22" spans="2:8" ht="17.5" customHeight="1">
      <c r="B22" s="338" t="s">
        <v>337</v>
      </c>
      <c r="C22" s="582">
        <v>1031</v>
      </c>
      <c r="D22" s="582">
        <v>1037</v>
      </c>
      <c r="E22" s="582">
        <v>1102</v>
      </c>
      <c r="F22" s="582">
        <v>828</v>
      </c>
      <c r="G22" s="582">
        <v>387</v>
      </c>
      <c r="H22" s="583">
        <v>352</v>
      </c>
    </row>
    <row r="23" spans="2:8" ht="17.5" customHeight="1">
      <c r="B23" s="340" t="s">
        <v>338</v>
      </c>
      <c r="C23" s="575">
        <v>1315</v>
      </c>
      <c r="D23" s="575">
        <v>1361</v>
      </c>
      <c r="E23" s="575">
        <v>1410</v>
      </c>
      <c r="F23" s="575">
        <v>1692</v>
      </c>
      <c r="G23" s="575">
        <v>2020</v>
      </c>
      <c r="H23" s="575">
        <v>2211</v>
      </c>
    </row>
    <row r="24" spans="2:8" ht="17.5" customHeight="1">
      <c r="B24" s="340" t="s">
        <v>339</v>
      </c>
      <c r="C24" s="577"/>
      <c r="D24" s="577"/>
      <c r="E24" s="577"/>
      <c r="F24" s="577"/>
      <c r="G24" s="577">
        <v>1</v>
      </c>
      <c r="H24" s="575">
        <v>1</v>
      </c>
    </row>
    <row r="25" spans="2:8" ht="17.5" customHeight="1">
      <c r="B25" s="340" t="s">
        <v>340</v>
      </c>
      <c r="C25" s="575">
        <v>443</v>
      </c>
      <c r="D25" s="575">
        <v>454</v>
      </c>
      <c r="E25" s="575">
        <v>486</v>
      </c>
      <c r="F25" s="575">
        <v>712</v>
      </c>
      <c r="G25" s="575">
        <v>733</v>
      </c>
      <c r="H25" s="575">
        <v>776</v>
      </c>
    </row>
    <row r="26" spans="2:8" ht="17.5" customHeight="1">
      <c r="B26" s="340" t="s">
        <v>341</v>
      </c>
      <c r="C26" s="578"/>
      <c r="D26" s="578"/>
      <c r="E26" s="578"/>
      <c r="F26" s="578"/>
      <c r="G26" s="578">
        <v>1</v>
      </c>
      <c r="H26" s="579">
        <v>1</v>
      </c>
    </row>
    <row r="27" spans="2:8" ht="17.5" customHeight="1">
      <c r="B27" s="340" t="s">
        <v>342</v>
      </c>
      <c r="C27" s="578"/>
      <c r="D27" s="578"/>
      <c r="E27" s="578"/>
      <c r="F27" s="578"/>
      <c r="G27" s="578">
        <v>2</v>
      </c>
      <c r="H27" s="579">
        <v>3</v>
      </c>
    </row>
    <row r="28" spans="2:8" ht="17.5" customHeight="1">
      <c r="B28" s="340" t="s">
        <v>343</v>
      </c>
      <c r="C28" s="578"/>
      <c r="D28" s="578"/>
      <c r="E28" s="578"/>
      <c r="F28" s="578"/>
      <c r="G28" s="578">
        <v>4</v>
      </c>
      <c r="H28" s="579">
        <v>4</v>
      </c>
    </row>
    <row r="29" spans="2:8" ht="17.5" customHeight="1">
      <c r="B29" s="340" t="s">
        <v>344</v>
      </c>
      <c r="C29" s="578"/>
      <c r="D29" s="578"/>
      <c r="E29" s="578"/>
      <c r="F29" s="578"/>
      <c r="G29" s="578">
        <v>29</v>
      </c>
      <c r="H29" s="579">
        <v>36</v>
      </c>
    </row>
    <row r="30" spans="2:8" ht="17.5" customHeight="1">
      <c r="B30" s="340" t="s">
        <v>345</v>
      </c>
      <c r="C30" s="579">
        <v>397</v>
      </c>
      <c r="D30" s="579">
        <v>358</v>
      </c>
      <c r="E30" s="579">
        <v>403</v>
      </c>
      <c r="F30" s="579">
        <v>509</v>
      </c>
      <c r="G30" s="579">
        <v>584</v>
      </c>
      <c r="H30" s="576">
        <v>597</v>
      </c>
    </row>
    <row r="31" spans="2:8" ht="17.5" customHeight="1">
      <c r="B31" s="340" t="s">
        <v>346</v>
      </c>
      <c r="C31" s="578"/>
      <c r="D31" s="578"/>
      <c r="E31" s="578"/>
      <c r="F31" s="578"/>
      <c r="G31" s="578">
        <v>47</v>
      </c>
      <c r="H31" s="576">
        <v>67</v>
      </c>
    </row>
    <row r="32" spans="2:8" ht="17.5" customHeight="1">
      <c r="B32" s="339" t="s">
        <v>347</v>
      </c>
      <c r="C32" s="576"/>
      <c r="D32" s="576"/>
      <c r="E32" s="576"/>
      <c r="F32" s="576"/>
      <c r="G32" s="578"/>
      <c r="H32" s="576">
        <v>1</v>
      </c>
    </row>
    <row r="33" spans="2:8" ht="17.5" customHeight="1">
      <c r="B33" s="339" t="s">
        <v>348</v>
      </c>
      <c r="C33" s="576"/>
      <c r="D33" s="576"/>
      <c r="E33" s="576"/>
      <c r="F33" s="576"/>
      <c r="G33" s="578"/>
      <c r="H33" s="576">
        <v>2</v>
      </c>
    </row>
    <row r="34" spans="2:8" ht="17.5" customHeight="1">
      <c r="B34" s="338" t="s">
        <v>349</v>
      </c>
      <c r="C34" s="582">
        <v>470</v>
      </c>
      <c r="D34" s="582">
        <v>439</v>
      </c>
      <c r="E34" s="582">
        <v>434</v>
      </c>
      <c r="F34" s="582">
        <v>447</v>
      </c>
      <c r="G34" s="582">
        <v>243</v>
      </c>
      <c r="H34" s="582">
        <v>132</v>
      </c>
    </row>
    <row r="35" spans="2:8" ht="17.5" customHeight="1">
      <c r="B35" s="340" t="s">
        <v>350</v>
      </c>
      <c r="C35" s="575">
        <v>149</v>
      </c>
      <c r="D35" s="575">
        <v>161</v>
      </c>
      <c r="E35" s="575">
        <v>108</v>
      </c>
      <c r="F35" s="575">
        <v>196</v>
      </c>
      <c r="G35" s="575">
        <v>91</v>
      </c>
      <c r="H35" s="575">
        <v>51</v>
      </c>
    </row>
    <row r="36" spans="2:8" ht="17.5" customHeight="1">
      <c r="B36" s="340" t="s">
        <v>351</v>
      </c>
      <c r="C36" s="577"/>
      <c r="D36" s="577"/>
      <c r="E36" s="577"/>
      <c r="F36" s="577"/>
      <c r="G36" s="577">
        <v>1</v>
      </c>
      <c r="H36" s="575">
        <v>0</v>
      </c>
    </row>
    <row r="37" spans="2:8" ht="17.5" customHeight="1">
      <c r="B37" s="339" t="s">
        <v>352</v>
      </c>
      <c r="C37" s="577"/>
      <c r="D37" s="577"/>
      <c r="E37" s="577"/>
      <c r="F37" s="577"/>
      <c r="G37" s="577"/>
      <c r="H37" s="575">
        <v>1</v>
      </c>
    </row>
    <row r="38" spans="2:8" ht="17.5" customHeight="1">
      <c r="B38" s="340" t="s">
        <v>353</v>
      </c>
      <c r="C38" s="575">
        <v>91</v>
      </c>
      <c r="D38" s="575">
        <v>134</v>
      </c>
      <c r="E38" s="575">
        <v>118</v>
      </c>
      <c r="F38" s="575">
        <v>132</v>
      </c>
      <c r="G38" s="575">
        <v>75</v>
      </c>
      <c r="H38" s="576">
        <v>48</v>
      </c>
    </row>
    <row r="39" spans="2:8" ht="17.5" customHeight="1">
      <c r="B39" s="340" t="s">
        <v>354</v>
      </c>
      <c r="C39" s="577"/>
      <c r="D39" s="577"/>
      <c r="E39" s="577"/>
      <c r="F39" s="577"/>
      <c r="G39" s="577">
        <v>2</v>
      </c>
      <c r="H39" s="575">
        <v>3</v>
      </c>
    </row>
    <row r="40" spans="2:8" ht="17.5" customHeight="1">
      <c r="B40" s="340" t="s">
        <v>355</v>
      </c>
      <c r="C40" s="575">
        <v>12</v>
      </c>
      <c r="D40" s="575">
        <v>2</v>
      </c>
      <c r="E40" s="575">
        <v>2</v>
      </c>
      <c r="F40" s="575">
        <v>3</v>
      </c>
      <c r="G40" s="575">
        <v>3</v>
      </c>
      <c r="H40" s="575">
        <v>4</v>
      </c>
    </row>
    <row r="41" spans="2:8" ht="17.5" customHeight="1">
      <c r="B41" s="338" t="s">
        <v>356</v>
      </c>
      <c r="C41" s="582">
        <v>33</v>
      </c>
      <c r="D41" s="582">
        <v>24</v>
      </c>
      <c r="E41" s="582">
        <v>21</v>
      </c>
      <c r="F41" s="582">
        <v>20</v>
      </c>
      <c r="G41" s="582">
        <v>11</v>
      </c>
      <c r="H41" s="582">
        <v>13</v>
      </c>
    </row>
    <row r="42" spans="2:8" ht="17.5" customHeight="1">
      <c r="B42" s="340" t="s">
        <v>357</v>
      </c>
      <c r="C42" s="575">
        <v>218</v>
      </c>
      <c r="D42" s="575">
        <v>225</v>
      </c>
      <c r="E42" s="575">
        <v>266</v>
      </c>
      <c r="F42" s="575">
        <v>240</v>
      </c>
      <c r="G42" s="575">
        <v>240</v>
      </c>
      <c r="H42" s="576">
        <v>230</v>
      </c>
    </row>
    <row r="43" spans="2:8" ht="17.5" customHeight="1">
      <c r="B43" s="340" t="s">
        <v>358</v>
      </c>
      <c r="C43" s="577"/>
      <c r="D43" s="577"/>
      <c r="E43" s="577"/>
      <c r="F43" s="577"/>
      <c r="G43" s="577">
        <v>14</v>
      </c>
      <c r="H43" s="575">
        <v>16</v>
      </c>
    </row>
    <row r="44" spans="2:8" ht="17.5" customHeight="1">
      <c r="B44" s="339" t="s">
        <v>359</v>
      </c>
      <c r="C44" s="577"/>
      <c r="D44" s="577"/>
      <c r="E44" s="577"/>
      <c r="F44" s="577"/>
      <c r="G44" s="577"/>
      <c r="H44" s="575">
        <v>2</v>
      </c>
    </row>
    <row r="45" spans="2:8" ht="17.5" customHeight="1">
      <c r="B45" s="340" t="s">
        <v>360</v>
      </c>
      <c r="C45" s="577"/>
      <c r="D45" s="577"/>
      <c r="E45" s="577"/>
      <c r="F45" s="577"/>
      <c r="G45" s="577">
        <v>7</v>
      </c>
      <c r="H45" s="575">
        <v>9</v>
      </c>
    </row>
    <row r="46" spans="2:8" ht="17.5" customHeight="1">
      <c r="B46" s="340" t="s">
        <v>361</v>
      </c>
      <c r="C46" s="575">
        <v>37</v>
      </c>
      <c r="D46" s="575">
        <v>30</v>
      </c>
      <c r="E46" s="575">
        <v>21</v>
      </c>
      <c r="F46" s="575">
        <v>33</v>
      </c>
      <c r="G46" s="575">
        <v>6</v>
      </c>
      <c r="H46" s="575">
        <v>12</v>
      </c>
    </row>
    <row r="47" spans="2:8" ht="17.5" customHeight="1">
      <c r="B47" s="339" t="s">
        <v>362</v>
      </c>
      <c r="C47" s="575"/>
      <c r="D47" s="575"/>
      <c r="E47" s="575"/>
      <c r="F47" s="575"/>
      <c r="G47" s="575"/>
      <c r="H47" s="575">
        <v>1</v>
      </c>
    </row>
    <row r="48" spans="2:8" ht="17.5" customHeight="1">
      <c r="B48" s="340" t="s">
        <v>363</v>
      </c>
      <c r="C48" s="577"/>
      <c r="D48" s="577"/>
      <c r="E48" s="577"/>
      <c r="F48" s="577"/>
      <c r="G48" s="577">
        <v>24</v>
      </c>
      <c r="H48" s="575">
        <v>22</v>
      </c>
    </row>
    <row r="49" spans="2:8" ht="17.5" customHeight="1">
      <c r="B49" s="340" t="s">
        <v>364</v>
      </c>
      <c r="C49" s="577"/>
      <c r="D49" s="577"/>
      <c r="E49" s="577"/>
      <c r="F49" s="577"/>
      <c r="G49" s="577">
        <v>2</v>
      </c>
      <c r="H49" s="575">
        <v>1</v>
      </c>
    </row>
    <row r="50" spans="2:8" ht="17.5" customHeight="1">
      <c r="B50" s="339" t="s">
        <v>365</v>
      </c>
      <c r="C50" s="577"/>
      <c r="D50" s="577"/>
      <c r="E50" s="577"/>
      <c r="F50" s="577"/>
      <c r="G50" s="577"/>
      <c r="H50" s="575">
        <v>1</v>
      </c>
    </row>
    <row r="51" spans="2:8" ht="17.5" customHeight="1">
      <c r="B51" s="338" t="s">
        <v>366</v>
      </c>
      <c r="C51" s="582">
        <v>171</v>
      </c>
      <c r="D51" s="582">
        <v>12</v>
      </c>
      <c r="E51" s="582">
        <v>11</v>
      </c>
      <c r="F51" s="582">
        <v>8</v>
      </c>
      <c r="G51" s="582">
        <v>6</v>
      </c>
      <c r="H51" s="582">
        <v>6</v>
      </c>
    </row>
    <row r="52" spans="2:8" ht="17.5" customHeight="1">
      <c r="B52" s="339" t="s">
        <v>367</v>
      </c>
      <c r="C52" s="575"/>
      <c r="D52" s="575"/>
      <c r="E52" s="575"/>
      <c r="F52" s="575"/>
      <c r="G52" s="575"/>
      <c r="H52" s="575">
        <v>1</v>
      </c>
    </row>
    <row r="53" spans="2:8" ht="17.5" customHeight="1">
      <c r="B53" s="340" t="s">
        <v>368</v>
      </c>
      <c r="C53" s="577">
        <v>16</v>
      </c>
      <c r="D53" s="577">
        <v>16</v>
      </c>
      <c r="E53" s="577">
        <v>16</v>
      </c>
      <c r="F53" s="577">
        <v>16</v>
      </c>
      <c r="G53" s="577">
        <v>16</v>
      </c>
      <c r="H53" s="575">
        <v>16</v>
      </c>
    </row>
    <row r="54" spans="2:8" ht="17.5" customHeight="1">
      <c r="B54" s="340" t="s">
        <v>369</v>
      </c>
      <c r="C54" s="577"/>
      <c r="D54" s="577"/>
      <c r="E54" s="577"/>
      <c r="F54" s="577"/>
      <c r="G54" s="577">
        <v>1</v>
      </c>
      <c r="H54" s="575">
        <v>0</v>
      </c>
    </row>
    <row r="55" spans="2:8" ht="17.5" customHeight="1">
      <c r="B55" s="338" t="s">
        <v>370</v>
      </c>
      <c r="C55" s="582">
        <v>336</v>
      </c>
      <c r="D55" s="582">
        <v>318</v>
      </c>
      <c r="E55" s="582">
        <v>308</v>
      </c>
      <c r="F55" s="582">
        <v>308</v>
      </c>
      <c r="G55" s="582">
        <v>234</v>
      </c>
      <c r="H55" s="582">
        <v>248</v>
      </c>
    </row>
    <row r="56" spans="2:8" ht="17.5" customHeight="1">
      <c r="B56" s="340" t="s">
        <v>371</v>
      </c>
      <c r="C56" s="577"/>
      <c r="D56" s="577"/>
      <c r="E56" s="577"/>
      <c r="F56" s="577"/>
      <c r="G56" s="580">
        <v>58</v>
      </c>
      <c r="H56" s="581">
        <v>54</v>
      </c>
    </row>
    <row r="57" spans="2:8" ht="17.5" customHeight="1">
      <c r="B57" s="339" t="s">
        <v>372</v>
      </c>
      <c r="C57" s="576"/>
      <c r="D57" s="576"/>
      <c r="E57" s="576"/>
      <c r="F57" s="576"/>
      <c r="G57" s="576"/>
      <c r="H57" s="576">
        <v>1</v>
      </c>
    </row>
    <row r="58" spans="2:8" ht="17.5" customHeight="1">
      <c r="B58" s="341" t="s">
        <v>373</v>
      </c>
      <c r="C58" s="342"/>
      <c r="D58" s="342"/>
      <c r="E58" s="342"/>
      <c r="F58" s="342"/>
      <c r="G58" s="342"/>
      <c r="H58" s="343"/>
    </row>
    <row r="59" spans="2:8" ht="17.5" customHeight="1">
      <c r="B59" s="344" t="s">
        <v>374</v>
      </c>
      <c r="C59" s="342"/>
      <c r="D59" s="342"/>
      <c r="E59" s="342"/>
      <c r="F59" s="342"/>
      <c r="G59" s="342"/>
      <c r="H59" s="343"/>
    </row>
    <row r="60" spans="2:8" ht="17.5" customHeight="1">
      <c r="B60" s="344"/>
      <c r="C60" s="342"/>
      <c r="D60" s="342"/>
      <c r="E60" s="342"/>
      <c r="F60" s="342"/>
      <c r="G60" s="342"/>
      <c r="H60" s="343"/>
    </row>
    <row r="61" spans="2:8" ht="17.5" customHeight="1">
      <c r="B61" s="444" t="s">
        <v>375</v>
      </c>
    </row>
    <row r="62" spans="2:8" ht="17.5" customHeight="1">
      <c r="B62" s="95" t="s">
        <v>376</v>
      </c>
      <c r="C62" s="95">
        <v>2017</v>
      </c>
      <c r="D62" s="95">
        <v>2018</v>
      </c>
      <c r="E62" s="95">
        <v>2019</v>
      </c>
      <c r="F62" s="95" t="s">
        <v>335</v>
      </c>
      <c r="G62" s="95" t="s">
        <v>256</v>
      </c>
      <c r="H62" s="95" t="s">
        <v>377</v>
      </c>
    </row>
    <row r="63" spans="2:8" ht="17.5" customHeight="1">
      <c r="B63" s="96" t="s">
        <v>378</v>
      </c>
      <c r="C63" s="97">
        <v>3186</v>
      </c>
      <c r="D63" s="97">
        <v>3210</v>
      </c>
      <c r="E63" s="97">
        <v>3401</v>
      </c>
      <c r="F63" s="97">
        <v>3741</v>
      </c>
      <c r="G63" s="97">
        <v>3808</v>
      </c>
      <c r="H63" s="524">
        <v>4051</v>
      </c>
    </row>
    <row r="64" spans="2:8" ht="17.5" customHeight="1">
      <c r="B64" s="64" t="s">
        <v>379</v>
      </c>
      <c r="C64" s="65">
        <v>1031</v>
      </c>
      <c r="D64" s="65">
        <v>1037</v>
      </c>
      <c r="E64" s="65">
        <v>1102</v>
      </c>
      <c r="F64" s="33">
        <v>828</v>
      </c>
      <c r="G64" s="33">
        <v>387</v>
      </c>
      <c r="H64" s="33">
        <v>352</v>
      </c>
    </row>
    <row r="65" spans="2:8" ht="17.5" customHeight="1">
      <c r="B65" s="64" t="s">
        <v>380</v>
      </c>
      <c r="C65" s="65">
        <v>2155</v>
      </c>
      <c r="D65" s="65">
        <v>2173</v>
      </c>
      <c r="E65" s="65">
        <v>2299</v>
      </c>
      <c r="F65" s="65">
        <v>2913</v>
      </c>
      <c r="G65" s="65">
        <v>3421</v>
      </c>
      <c r="H65" s="65">
        <v>3699</v>
      </c>
    </row>
    <row r="66" spans="2:8" ht="17.5" customHeight="1">
      <c r="B66" s="68" t="s">
        <v>381</v>
      </c>
      <c r="C66" s="99">
        <v>0.32400000000000001</v>
      </c>
      <c r="D66" s="99">
        <v>0.32300000000000001</v>
      </c>
      <c r="E66" s="99">
        <v>0.32400000000000001</v>
      </c>
      <c r="F66" s="99">
        <v>0.221</v>
      </c>
      <c r="G66" s="99">
        <v>0.10199999999999999</v>
      </c>
      <c r="H66" s="99">
        <v>8.6999999999999994E-2</v>
      </c>
    </row>
    <row r="67" spans="2:8" ht="17.5" customHeight="1">
      <c r="B67" s="68" t="s">
        <v>382</v>
      </c>
      <c r="C67" s="99">
        <v>0.67600000000000005</v>
      </c>
      <c r="D67" s="99">
        <v>0.67700000000000005</v>
      </c>
      <c r="E67" s="99">
        <v>0.67600000000000005</v>
      </c>
      <c r="F67" s="99">
        <v>0.77900000000000003</v>
      </c>
      <c r="G67" s="99">
        <v>0.89800000000000002</v>
      </c>
      <c r="H67" s="99">
        <v>0.91300000000000003</v>
      </c>
    </row>
    <row r="68" spans="2:8" ht="17.5" customHeight="1">
      <c r="B68" s="21" t="s">
        <v>278</v>
      </c>
    </row>
    <row r="70" spans="2:8" ht="17.5" customHeight="1">
      <c r="B70" s="444" t="s">
        <v>383</v>
      </c>
      <c r="C70" s="93"/>
      <c r="D70" s="93"/>
      <c r="E70" s="93"/>
      <c r="F70" s="93"/>
      <c r="G70" s="93"/>
    </row>
    <row r="71" spans="2:8" ht="17.5" customHeight="1">
      <c r="B71" s="95" t="s">
        <v>376</v>
      </c>
      <c r="C71" s="71">
        <v>2017</v>
      </c>
      <c r="D71" s="71">
        <v>2018</v>
      </c>
      <c r="E71" s="71">
        <v>2019</v>
      </c>
      <c r="F71" s="71" t="s">
        <v>335</v>
      </c>
      <c r="G71" s="71" t="s">
        <v>256</v>
      </c>
      <c r="H71" s="71" t="s">
        <v>257</v>
      </c>
    </row>
    <row r="72" spans="2:8" ht="17.5" customHeight="1">
      <c r="B72" s="96" t="s">
        <v>384</v>
      </c>
      <c r="C72" s="97">
        <v>2877</v>
      </c>
      <c r="D72" s="97">
        <v>2909</v>
      </c>
      <c r="E72" s="97">
        <v>2961</v>
      </c>
      <c r="F72" s="97">
        <v>3691</v>
      </c>
      <c r="G72" s="97">
        <v>3831</v>
      </c>
      <c r="H72" s="97">
        <v>3932</v>
      </c>
    </row>
    <row r="73" spans="2:8" ht="17.5" customHeight="1">
      <c r="B73" s="64" t="s">
        <v>385</v>
      </c>
      <c r="C73" s="33">
        <v>470</v>
      </c>
      <c r="D73" s="33">
        <v>439</v>
      </c>
      <c r="E73" s="33">
        <v>434</v>
      </c>
      <c r="F73" s="33">
        <v>447</v>
      </c>
      <c r="G73" s="33">
        <v>243</v>
      </c>
      <c r="H73" s="33">
        <v>132</v>
      </c>
    </row>
    <row r="74" spans="2:8" ht="17.5" customHeight="1">
      <c r="B74" s="64" t="s">
        <v>386</v>
      </c>
      <c r="C74" s="65">
        <v>2407</v>
      </c>
      <c r="D74" s="65">
        <v>2470</v>
      </c>
      <c r="E74" s="65">
        <v>2527</v>
      </c>
      <c r="F74" s="65">
        <v>3244</v>
      </c>
      <c r="G74" s="65">
        <v>3588</v>
      </c>
      <c r="H74" s="65">
        <v>3800</v>
      </c>
    </row>
    <row r="75" spans="2:8" ht="17.5" customHeight="1">
      <c r="B75" s="68" t="s">
        <v>387</v>
      </c>
      <c r="C75" s="99">
        <v>0.16300000000000001</v>
      </c>
      <c r="D75" s="99">
        <v>0.151</v>
      </c>
      <c r="E75" s="99">
        <v>0.14699999999999999</v>
      </c>
      <c r="F75" s="99">
        <v>0.121</v>
      </c>
      <c r="G75" s="99">
        <v>6.3E-2</v>
      </c>
      <c r="H75" s="99">
        <v>3.4000000000000002E-2</v>
      </c>
    </row>
    <row r="76" spans="2:8" ht="17.5" customHeight="1">
      <c r="B76" s="68" t="s">
        <v>388</v>
      </c>
      <c r="C76" s="99">
        <v>0.83699999999999997</v>
      </c>
      <c r="D76" s="99">
        <v>0.84899999999999998</v>
      </c>
      <c r="E76" s="99">
        <v>0.85299999999999998</v>
      </c>
      <c r="F76" s="99">
        <v>0.879</v>
      </c>
      <c r="G76" s="99">
        <v>0.93700000000000006</v>
      </c>
      <c r="H76" s="99">
        <v>0.96599999999999997</v>
      </c>
    </row>
    <row r="77" spans="2:8" ht="17.5" customHeight="1">
      <c r="B77" s="85" t="s">
        <v>278</v>
      </c>
      <c r="C77" s="93"/>
      <c r="D77" s="93"/>
      <c r="E77" s="93"/>
      <c r="F77" s="93"/>
      <c r="G77" s="93"/>
    </row>
    <row r="79" spans="2:8" ht="17.5" customHeight="1">
      <c r="B79" s="444" t="s">
        <v>389</v>
      </c>
      <c r="C79" s="93"/>
      <c r="D79" s="93"/>
      <c r="E79" s="93"/>
      <c r="F79" s="93"/>
      <c r="G79" s="93"/>
    </row>
    <row r="80" spans="2:8" ht="17.5" customHeight="1">
      <c r="B80" s="77" t="s">
        <v>376</v>
      </c>
      <c r="C80" s="71">
        <v>2017</v>
      </c>
      <c r="D80" s="71">
        <v>2018</v>
      </c>
      <c r="E80" s="71">
        <v>2019</v>
      </c>
      <c r="F80" s="71" t="s">
        <v>335</v>
      </c>
      <c r="G80" s="71" t="s">
        <v>256</v>
      </c>
      <c r="H80" s="71" t="s">
        <v>257</v>
      </c>
    </row>
    <row r="81" spans="2:8" ht="17.5" customHeight="1">
      <c r="B81" s="104" t="s">
        <v>390</v>
      </c>
      <c r="C81" s="97">
        <v>1567</v>
      </c>
      <c r="D81" s="97">
        <v>1416</v>
      </c>
      <c r="E81" s="97">
        <v>1452</v>
      </c>
      <c r="F81" s="97">
        <v>1869</v>
      </c>
      <c r="G81" s="97">
        <v>1955</v>
      </c>
      <c r="H81" s="97">
        <v>1977</v>
      </c>
    </row>
    <row r="82" spans="2:8" ht="17.5" customHeight="1">
      <c r="B82" s="105" t="s">
        <v>391</v>
      </c>
      <c r="C82" s="33">
        <v>438</v>
      </c>
      <c r="D82" s="33">
        <v>277</v>
      </c>
      <c r="E82" s="33">
        <v>314</v>
      </c>
      <c r="F82" s="33">
        <v>284</v>
      </c>
      <c r="G82" s="33">
        <v>281</v>
      </c>
      <c r="H82" s="33">
        <v>262</v>
      </c>
    </row>
    <row r="83" spans="2:8" ht="17.5" customHeight="1">
      <c r="B83" s="105" t="s">
        <v>392</v>
      </c>
      <c r="C83" s="65">
        <v>1129</v>
      </c>
      <c r="D83" s="65">
        <v>1139</v>
      </c>
      <c r="E83" s="65">
        <v>1138</v>
      </c>
      <c r="F83" s="65">
        <v>1585</v>
      </c>
      <c r="G83" s="65">
        <v>1674</v>
      </c>
      <c r="H83" s="65">
        <v>1715</v>
      </c>
    </row>
    <row r="84" spans="2:8" ht="17.5" customHeight="1">
      <c r="B84" s="106" t="s">
        <v>393</v>
      </c>
      <c r="C84" s="99">
        <v>0.28000000000000003</v>
      </c>
      <c r="D84" s="99">
        <v>0.19600000000000001</v>
      </c>
      <c r="E84" s="99">
        <v>0.216</v>
      </c>
      <c r="F84" s="99">
        <v>0.152</v>
      </c>
      <c r="G84" s="99">
        <v>0.14399999999999999</v>
      </c>
      <c r="H84" s="99">
        <v>0.13300000000000001</v>
      </c>
    </row>
    <row r="85" spans="2:8" ht="17.5" customHeight="1">
      <c r="B85" s="106" t="s">
        <v>394</v>
      </c>
      <c r="C85" s="99">
        <v>0.72</v>
      </c>
      <c r="D85" s="99">
        <v>0.80400000000000005</v>
      </c>
      <c r="E85" s="99">
        <v>0.78400000000000003</v>
      </c>
      <c r="F85" s="99">
        <v>0.84799999999999998</v>
      </c>
      <c r="G85" s="99">
        <v>0.85599999999999998</v>
      </c>
      <c r="H85" s="99">
        <v>0.86699999999999999</v>
      </c>
    </row>
    <row r="86" spans="2:8" ht="17.5" customHeight="1">
      <c r="B86" s="85" t="s">
        <v>278</v>
      </c>
      <c r="C86" s="93"/>
      <c r="D86" s="93"/>
      <c r="E86" s="93"/>
      <c r="F86" s="93"/>
      <c r="G86" s="93"/>
    </row>
    <row r="88" spans="2:8" ht="17.5" customHeight="1">
      <c r="B88" s="444" t="s">
        <v>395</v>
      </c>
      <c r="C88" s="93"/>
      <c r="D88" s="93"/>
      <c r="E88" s="93"/>
      <c r="F88" s="93"/>
      <c r="G88" s="93"/>
    </row>
    <row r="89" spans="2:8" ht="17.5" customHeight="1">
      <c r="B89" s="95" t="s">
        <v>376</v>
      </c>
      <c r="C89" s="71">
        <v>2017</v>
      </c>
      <c r="D89" s="71">
        <v>2018</v>
      </c>
      <c r="E89" s="71">
        <v>2019</v>
      </c>
      <c r="F89" s="71" t="s">
        <v>335</v>
      </c>
      <c r="G89" s="71" t="s">
        <v>256</v>
      </c>
      <c r="H89" s="71" t="s">
        <v>257</v>
      </c>
    </row>
    <row r="90" spans="2:8" ht="17.5" customHeight="1">
      <c r="B90" s="96" t="s">
        <v>396</v>
      </c>
      <c r="C90" s="107">
        <v>385</v>
      </c>
      <c r="D90" s="107">
        <v>350</v>
      </c>
      <c r="E90" s="107">
        <v>331</v>
      </c>
      <c r="F90" s="107">
        <v>344</v>
      </c>
      <c r="G90" s="107">
        <v>422</v>
      </c>
      <c r="H90" s="107">
        <v>470</v>
      </c>
    </row>
    <row r="91" spans="2:8" ht="17.5" customHeight="1">
      <c r="B91" s="64" t="s">
        <v>397</v>
      </c>
      <c r="C91" s="33">
        <v>336</v>
      </c>
      <c r="D91" s="33">
        <v>318</v>
      </c>
      <c r="E91" s="33">
        <v>308</v>
      </c>
      <c r="F91" s="33">
        <v>308</v>
      </c>
      <c r="G91" s="33">
        <v>234</v>
      </c>
      <c r="H91" s="33">
        <v>248</v>
      </c>
    </row>
    <row r="92" spans="2:8" ht="17.5" customHeight="1">
      <c r="B92" s="64" t="s">
        <v>398</v>
      </c>
      <c r="C92" s="33">
        <v>49</v>
      </c>
      <c r="D92" s="33">
        <v>32</v>
      </c>
      <c r="E92" s="33">
        <v>23</v>
      </c>
      <c r="F92" s="33">
        <v>36</v>
      </c>
      <c r="G92" s="33">
        <v>188</v>
      </c>
      <c r="H92" s="33">
        <v>222</v>
      </c>
    </row>
    <row r="93" spans="2:8" ht="17.5" customHeight="1">
      <c r="B93" s="68" t="s">
        <v>399</v>
      </c>
      <c r="C93" s="99">
        <v>0.873</v>
      </c>
      <c r="D93" s="99">
        <v>0.90900000000000003</v>
      </c>
      <c r="E93" s="99">
        <v>0.93100000000000005</v>
      </c>
      <c r="F93" s="99">
        <v>0.89500000000000002</v>
      </c>
      <c r="G93" s="99">
        <v>0.55500000000000005</v>
      </c>
      <c r="H93" s="99">
        <v>0.52800000000000002</v>
      </c>
    </row>
    <row r="94" spans="2:8" ht="17.5" customHeight="1">
      <c r="B94" s="68" t="s">
        <v>400</v>
      </c>
      <c r="C94" s="99">
        <v>0.127</v>
      </c>
      <c r="D94" s="99">
        <v>9.0999999999999998E-2</v>
      </c>
      <c r="E94" s="99">
        <v>6.9000000000000006E-2</v>
      </c>
      <c r="F94" s="99">
        <v>0.105</v>
      </c>
      <c r="G94" s="99">
        <v>0.44500000000000001</v>
      </c>
      <c r="H94" s="99">
        <v>0.47199999999999998</v>
      </c>
    </row>
    <row r="95" spans="2:8" ht="17.5" customHeight="1">
      <c r="B95" s="85" t="s">
        <v>278</v>
      </c>
      <c r="C95" s="93"/>
      <c r="D95" s="93"/>
      <c r="E95" s="93"/>
      <c r="F95" s="93"/>
      <c r="G95" s="93"/>
    </row>
    <row r="96" spans="2:8" ht="17.5" customHeight="1">
      <c r="B96" s="98"/>
      <c r="C96" s="93"/>
      <c r="D96" s="93"/>
      <c r="E96" s="93"/>
      <c r="F96" s="93"/>
      <c r="G96" s="93"/>
    </row>
    <row r="97" spans="2:8" ht="17.5" customHeight="1">
      <c r="B97" s="25" t="s">
        <v>10</v>
      </c>
      <c r="C97" s="93"/>
      <c r="D97" s="93"/>
      <c r="E97" s="93"/>
      <c r="F97" s="93"/>
      <c r="G97" s="93"/>
    </row>
    <row r="99" spans="2:8" ht="17.5" customHeight="1">
      <c r="B99" s="49" t="s">
        <v>401</v>
      </c>
    </row>
    <row r="100" spans="2:8" ht="17.5" customHeight="1">
      <c r="B100" s="95" t="s">
        <v>402</v>
      </c>
      <c r="C100" s="71">
        <v>2017</v>
      </c>
      <c r="D100" s="71">
        <v>2018</v>
      </c>
      <c r="E100" s="71">
        <v>2019</v>
      </c>
      <c r="F100" s="71" t="s">
        <v>335</v>
      </c>
      <c r="G100" s="71" t="s">
        <v>256</v>
      </c>
      <c r="H100" s="71" t="s">
        <v>257</v>
      </c>
    </row>
    <row r="101" spans="2:8" ht="17.5" customHeight="1">
      <c r="B101" s="96" t="s">
        <v>336</v>
      </c>
      <c r="C101" s="97">
        <v>3186</v>
      </c>
      <c r="D101" s="97">
        <v>3210</v>
      </c>
      <c r="E101" s="97">
        <v>3401</v>
      </c>
      <c r="F101" s="97">
        <v>3741</v>
      </c>
      <c r="G101" s="97">
        <v>3808</v>
      </c>
      <c r="H101" s="97">
        <v>4051</v>
      </c>
    </row>
    <row r="102" spans="2:8" ht="17.5" customHeight="1">
      <c r="B102" s="76" t="s">
        <v>403</v>
      </c>
      <c r="C102" s="32">
        <v>455</v>
      </c>
      <c r="D102" s="32">
        <v>455</v>
      </c>
      <c r="E102" s="32">
        <v>508</v>
      </c>
      <c r="F102" s="35">
        <v>1069</v>
      </c>
      <c r="G102" s="35">
        <v>1133</v>
      </c>
      <c r="H102" s="35">
        <v>1243</v>
      </c>
    </row>
    <row r="103" spans="2:8" ht="17.5" customHeight="1">
      <c r="B103" s="76" t="s">
        <v>404</v>
      </c>
      <c r="C103" s="35">
        <v>1484</v>
      </c>
      <c r="D103" s="35">
        <v>1632</v>
      </c>
      <c r="E103" s="35">
        <v>1555</v>
      </c>
      <c r="F103" s="35">
        <v>1646</v>
      </c>
      <c r="G103" s="35">
        <v>1746</v>
      </c>
      <c r="H103" s="35">
        <v>1795</v>
      </c>
    </row>
    <row r="104" spans="2:8" ht="17.5" customHeight="1">
      <c r="B104" s="76" t="s">
        <v>405</v>
      </c>
      <c r="C104" s="35">
        <v>1247</v>
      </c>
      <c r="D104" s="35">
        <v>1123</v>
      </c>
      <c r="E104" s="35">
        <v>1338</v>
      </c>
      <c r="F104" s="35">
        <v>1026</v>
      </c>
      <c r="G104" s="32">
        <v>929</v>
      </c>
      <c r="H104" s="32">
        <v>1013</v>
      </c>
    </row>
    <row r="105" spans="2:8" ht="17.5" customHeight="1">
      <c r="B105" s="96" t="s">
        <v>406</v>
      </c>
      <c r="C105" s="107">
        <v>69</v>
      </c>
      <c r="D105" s="107">
        <v>71</v>
      </c>
      <c r="E105" s="107">
        <v>83</v>
      </c>
      <c r="F105" s="107">
        <v>79</v>
      </c>
      <c r="G105" s="107">
        <v>93</v>
      </c>
      <c r="H105" s="107">
        <v>134</v>
      </c>
    </row>
    <row r="106" spans="2:8" ht="17.5" customHeight="1">
      <c r="B106" s="76" t="s">
        <v>403</v>
      </c>
      <c r="C106" s="32">
        <v>71</v>
      </c>
      <c r="D106" s="32">
        <v>70</v>
      </c>
      <c r="E106" s="32">
        <v>81</v>
      </c>
      <c r="F106" s="32">
        <v>73</v>
      </c>
      <c r="G106" s="32">
        <v>95</v>
      </c>
      <c r="H106" s="32">
        <v>151</v>
      </c>
    </row>
    <row r="107" spans="2:8" ht="17.5" customHeight="1">
      <c r="B107" s="76" t="s">
        <v>404</v>
      </c>
      <c r="C107" s="32">
        <v>66</v>
      </c>
      <c r="D107" s="32">
        <v>67</v>
      </c>
      <c r="E107" s="32">
        <v>80</v>
      </c>
      <c r="F107" s="32">
        <v>75</v>
      </c>
      <c r="G107" s="32">
        <v>97</v>
      </c>
      <c r="H107" s="32">
        <v>148</v>
      </c>
    </row>
    <row r="108" spans="2:8" ht="17.5" customHeight="1">
      <c r="B108" s="76" t="s">
        <v>405</v>
      </c>
      <c r="C108" s="32">
        <v>73</v>
      </c>
      <c r="D108" s="32">
        <v>77</v>
      </c>
      <c r="E108" s="32">
        <v>86</v>
      </c>
      <c r="F108" s="32">
        <v>90</v>
      </c>
      <c r="G108" s="32">
        <v>85</v>
      </c>
      <c r="H108" s="32">
        <v>86</v>
      </c>
    </row>
    <row r="109" spans="2:8" ht="17.5" customHeight="1">
      <c r="B109" s="21" t="s">
        <v>278</v>
      </c>
      <c r="C109" s="52"/>
      <c r="D109" s="52"/>
    </row>
    <row r="111" spans="2:8" ht="17.5" customHeight="1">
      <c r="B111" s="49" t="s">
        <v>407</v>
      </c>
    </row>
    <row r="112" spans="2:8" ht="17.5" customHeight="1">
      <c r="B112" s="95" t="s">
        <v>408</v>
      </c>
      <c r="C112" s="71">
        <v>2017</v>
      </c>
      <c r="D112" s="71">
        <v>2018</v>
      </c>
      <c r="E112" s="71">
        <v>2019</v>
      </c>
      <c r="F112" s="71" t="s">
        <v>335</v>
      </c>
      <c r="G112" s="71" t="s">
        <v>256</v>
      </c>
      <c r="H112" s="71" t="s">
        <v>257</v>
      </c>
    </row>
    <row r="113" spans="2:8" ht="17.5" customHeight="1">
      <c r="B113" s="96" t="s">
        <v>336</v>
      </c>
      <c r="C113" s="97">
        <v>2877</v>
      </c>
      <c r="D113" s="97">
        <v>2909</v>
      </c>
      <c r="E113" s="97">
        <v>2961</v>
      </c>
      <c r="F113" s="97">
        <v>3691</v>
      </c>
      <c r="G113" s="97">
        <v>3831</v>
      </c>
      <c r="H113" s="97">
        <v>3932</v>
      </c>
    </row>
    <row r="114" spans="2:8" ht="17.5" customHeight="1">
      <c r="B114" s="76" t="s">
        <v>409</v>
      </c>
      <c r="C114" s="32">
        <v>725</v>
      </c>
      <c r="D114" s="32">
        <v>736</v>
      </c>
      <c r="E114" s="32">
        <v>759</v>
      </c>
      <c r="F114" s="35">
        <v>1304</v>
      </c>
      <c r="G114" s="35">
        <v>1316</v>
      </c>
      <c r="H114" s="35">
        <v>1326</v>
      </c>
    </row>
    <row r="115" spans="2:8" ht="17.5" customHeight="1">
      <c r="B115" s="76" t="s">
        <v>410</v>
      </c>
      <c r="C115" s="35">
        <v>1774</v>
      </c>
      <c r="D115" s="35">
        <v>1781</v>
      </c>
      <c r="E115" s="35">
        <v>1787</v>
      </c>
      <c r="F115" s="35">
        <v>1890</v>
      </c>
      <c r="G115" s="35">
        <v>1897</v>
      </c>
      <c r="H115" s="35">
        <v>1891</v>
      </c>
    </row>
    <row r="116" spans="2:8" ht="17.5" customHeight="1">
      <c r="B116" s="76" t="s">
        <v>411</v>
      </c>
      <c r="C116" s="32">
        <v>378</v>
      </c>
      <c r="D116" s="32">
        <v>392</v>
      </c>
      <c r="E116" s="32">
        <v>415</v>
      </c>
      <c r="F116" s="32">
        <v>497</v>
      </c>
      <c r="G116" s="32">
        <v>618</v>
      </c>
      <c r="H116" s="32">
        <v>715</v>
      </c>
    </row>
    <row r="117" spans="2:8" ht="17.5" customHeight="1">
      <c r="B117" s="96" t="s">
        <v>412</v>
      </c>
      <c r="C117" s="107">
        <v>883</v>
      </c>
      <c r="D117" s="107">
        <v>861</v>
      </c>
      <c r="E117" s="107">
        <v>848</v>
      </c>
      <c r="F117" s="107">
        <v>739</v>
      </c>
      <c r="G117" s="107">
        <v>716</v>
      </c>
      <c r="H117" s="107">
        <v>722</v>
      </c>
    </row>
    <row r="118" spans="2:8" ht="17.5" customHeight="1">
      <c r="B118" s="76" t="s">
        <v>409</v>
      </c>
      <c r="C118" s="35">
        <v>1099</v>
      </c>
      <c r="D118" s="35">
        <v>1075</v>
      </c>
      <c r="E118" s="35">
        <v>1069</v>
      </c>
      <c r="F118" s="32">
        <v>815</v>
      </c>
      <c r="G118" s="32">
        <v>834</v>
      </c>
      <c r="H118" s="32">
        <v>863</v>
      </c>
    </row>
    <row r="119" spans="2:8" ht="17.5" customHeight="1">
      <c r="B119" s="76" t="s">
        <v>410</v>
      </c>
      <c r="C119" s="32">
        <v>929</v>
      </c>
      <c r="D119" s="32">
        <v>904</v>
      </c>
      <c r="E119" s="32">
        <v>891</v>
      </c>
      <c r="F119" s="32">
        <v>811</v>
      </c>
      <c r="G119" s="32">
        <v>795</v>
      </c>
      <c r="H119" s="32">
        <v>813</v>
      </c>
    </row>
    <row r="120" spans="2:8" ht="17.5" customHeight="1">
      <c r="B120" s="76" t="s">
        <v>411</v>
      </c>
      <c r="C120" s="32">
        <v>254</v>
      </c>
      <c r="D120" s="32">
        <v>264</v>
      </c>
      <c r="E120" s="32">
        <v>261</v>
      </c>
      <c r="F120" s="32">
        <v>268</v>
      </c>
      <c r="G120" s="32">
        <v>222</v>
      </c>
      <c r="H120" s="32">
        <v>219</v>
      </c>
    </row>
    <row r="121" spans="2:8" ht="17.5" customHeight="1">
      <c r="B121" s="21" t="s">
        <v>278</v>
      </c>
    </row>
    <row r="123" spans="2:8" ht="17.5" customHeight="1">
      <c r="B123" s="49" t="s">
        <v>413</v>
      </c>
    </row>
    <row r="124" spans="2:8" ht="17.5" customHeight="1">
      <c r="B124" s="77" t="s">
        <v>414</v>
      </c>
      <c r="C124" s="71">
        <v>2017</v>
      </c>
      <c r="D124" s="71">
        <v>2018</v>
      </c>
      <c r="E124" s="71">
        <v>2019</v>
      </c>
      <c r="F124" s="71" t="s">
        <v>335</v>
      </c>
      <c r="G124" s="71" t="s">
        <v>256</v>
      </c>
      <c r="H124" s="71" t="s">
        <v>257</v>
      </c>
    </row>
    <row r="125" spans="2:8" ht="17.5" customHeight="1">
      <c r="B125" s="78" t="s">
        <v>415</v>
      </c>
      <c r="C125" s="79">
        <v>1567</v>
      </c>
      <c r="D125" s="79">
        <v>1416</v>
      </c>
      <c r="E125" s="79">
        <v>1452</v>
      </c>
      <c r="F125" s="79">
        <v>1869</v>
      </c>
      <c r="G125" s="79">
        <v>1955</v>
      </c>
      <c r="H125" s="79">
        <v>1977</v>
      </c>
    </row>
    <row r="126" spans="2:8" ht="17.5" customHeight="1">
      <c r="B126" s="80" t="s">
        <v>409</v>
      </c>
      <c r="C126" s="32">
        <v>461</v>
      </c>
      <c r="D126" s="32">
        <v>437</v>
      </c>
      <c r="E126" s="32">
        <v>456</v>
      </c>
      <c r="F126" s="32">
        <v>699</v>
      </c>
      <c r="G126" s="32">
        <v>712</v>
      </c>
      <c r="H126" s="32">
        <v>729</v>
      </c>
    </row>
    <row r="127" spans="2:8" ht="17.5" customHeight="1">
      <c r="B127" s="80" t="s">
        <v>410</v>
      </c>
      <c r="C127" s="32">
        <v>871</v>
      </c>
      <c r="D127" s="32">
        <v>849</v>
      </c>
      <c r="E127" s="32">
        <v>867</v>
      </c>
      <c r="F127" s="35">
        <v>1041</v>
      </c>
      <c r="G127" s="525">
        <v>1069</v>
      </c>
      <c r="H127" s="525">
        <v>1069</v>
      </c>
    </row>
    <row r="128" spans="2:8" ht="17.5" customHeight="1">
      <c r="B128" s="80" t="s">
        <v>411</v>
      </c>
      <c r="C128" s="32">
        <v>235</v>
      </c>
      <c r="D128" s="32">
        <v>130</v>
      </c>
      <c r="E128" s="32">
        <v>129</v>
      </c>
      <c r="F128" s="32">
        <v>129</v>
      </c>
      <c r="G128" s="32">
        <v>174</v>
      </c>
      <c r="H128" s="32">
        <v>179</v>
      </c>
    </row>
    <row r="129" spans="2:8" ht="17.5" customHeight="1">
      <c r="B129" s="78" t="s">
        <v>416</v>
      </c>
      <c r="C129" s="75">
        <v>339</v>
      </c>
      <c r="D129" s="75">
        <v>409</v>
      </c>
      <c r="E129" s="75">
        <v>447</v>
      </c>
      <c r="F129" s="75">
        <v>371</v>
      </c>
      <c r="G129" s="75">
        <v>373</v>
      </c>
      <c r="H129" s="75">
        <v>422</v>
      </c>
    </row>
    <row r="130" spans="2:8" ht="17.5" customHeight="1">
      <c r="B130" s="80" t="s">
        <v>409</v>
      </c>
      <c r="C130" s="32">
        <v>378</v>
      </c>
      <c r="D130" s="32">
        <v>436</v>
      </c>
      <c r="E130" s="32">
        <v>474</v>
      </c>
      <c r="F130" s="32">
        <v>356</v>
      </c>
      <c r="G130" s="32">
        <v>368</v>
      </c>
      <c r="H130" s="32">
        <v>418</v>
      </c>
    </row>
    <row r="131" spans="2:8" ht="17.5" customHeight="1">
      <c r="B131" s="80" t="s">
        <v>410</v>
      </c>
      <c r="C131" s="32">
        <v>368</v>
      </c>
      <c r="D131" s="32">
        <v>415</v>
      </c>
      <c r="E131" s="32">
        <v>457</v>
      </c>
      <c r="F131" s="32">
        <v>388</v>
      </c>
      <c r="G131" s="32">
        <v>395</v>
      </c>
      <c r="H131" s="32">
        <v>411</v>
      </c>
    </row>
    <row r="132" spans="2:8" ht="17.5" customHeight="1">
      <c r="B132" s="80" t="s">
        <v>411</v>
      </c>
      <c r="C132" s="32">
        <v>155</v>
      </c>
      <c r="D132" s="32">
        <v>279</v>
      </c>
      <c r="E132" s="32">
        <v>286</v>
      </c>
      <c r="F132" s="32">
        <v>314</v>
      </c>
      <c r="G132" s="32">
        <v>257</v>
      </c>
      <c r="H132" s="32">
        <v>502</v>
      </c>
    </row>
    <row r="133" spans="2:8" ht="17.5" customHeight="1">
      <c r="B133" s="21" t="s">
        <v>278</v>
      </c>
    </row>
    <row r="135" spans="2:8" ht="17.5" customHeight="1">
      <c r="B135" s="49" t="s">
        <v>417</v>
      </c>
    </row>
    <row r="136" spans="2:8" ht="17.5" customHeight="1">
      <c r="B136" s="62" t="s">
        <v>418</v>
      </c>
      <c r="C136" s="63">
        <v>2017</v>
      </c>
      <c r="D136" s="71">
        <v>2018</v>
      </c>
      <c r="E136" s="71">
        <v>2019</v>
      </c>
      <c r="F136" s="71" t="s">
        <v>335</v>
      </c>
      <c r="G136" s="71" t="s">
        <v>256</v>
      </c>
      <c r="H136" s="71" t="s">
        <v>257</v>
      </c>
    </row>
    <row r="137" spans="2:8" ht="17.5" customHeight="1">
      <c r="B137" s="72" t="s">
        <v>336</v>
      </c>
      <c r="C137" s="73">
        <v>385</v>
      </c>
      <c r="D137" s="73">
        <v>350</v>
      </c>
      <c r="E137" s="73">
        <v>331</v>
      </c>
      <c r="F137" s="73">
        <v>344</v>
      </c>
      <c r="G137" s="73">
        <v>422</v>
      </c>
      <c r="H137" s="73">
        <v>470</v>
      </c>
    </row>
    <row r="138" spans="2:8" ht="17.5" customHeight="1">
      <c r="B138" s="64" t="s">
        <v>409</v>
      </c>
      <c r="C138" s="33">
        <v>94</v>
      </c>
      <c r="D138" s="33">
        <v>95</v>
      </c>
      <c r="E138" s="33">
        <v>91</v>
      </c>
      <c r="F138" s="33">
        <v>99</v>
      </c>
      <c r="G138" s="33">
        <v>152</v>
      </c>
      <c r="H138" s="33">
        <v>168</v>
      </c>
    </row>
    <row r="139" spans="2:8" ht="17.5" customHeight="1">
      <c r="B139" s="64" t="s">
        <v>410</v>
      </c>
      <c r="C139" s="33">
        <v>40</v>
      </c>
      <c r="D139" s="33">
        <v>45</v>
      </c>
      <c r="E139" s="33">
        <v>45</v>
      </c>
      <c r="F139" s="33">
        <v>49</v>
      </c>
      <c r="G139" s="33">
        <v>88</v>
      </c>
      <c r="H139" s="33">
        <v>109</v>
      </c>
    </row>
    <row r="140" spans="2:8" ht="17.5" customHeight="1">
      <c r="B140" s="64" t="s">
        <v>411</v>
      </c>
      <c r="C140" s="33">
        <v>251</v>
      </c>
      <c r="D140" s="33">
        <v>210</v>
      </c>
      <c r="E140" s="33">
        <v>195</v>
      </c>
      <c r="F140" s="33">
        <v>196</v>
      </c>
      <c r="G140" s="33">
        <v>182</v>
      </c>
      <c r="H140" s="33">
        <v>193</v>
      </c>
    </row>
    <row r="141" spans="2:8" ht="17.5" customHeight="1">
      <c r="B141" s="74" t="s">
        <v>416</v>
      </c>
      <c r="C141" s="75">
        <v>207</v>
      </c>
      <c r="D141" s="75">
        <v>227</v>
      </c>
      <c r="E141" s="75">
        <v>251</v>
      </c>
      <c r="F141" s="75">
        <v>259</v>
      </c>
      <c r="G141" s="75">
        <v>198</v>
      </c>
      <c r="H141" s="75">
        <v>220</v>
      </c>
    </row>
    <row r="142" spans="2:8" ht="17.5" customHeight="1">
      <c r="B142" s="76" t="s">
        <v>409</v>
      </c>
      <c r="C142" s="32">
        <v>220</v>
      </c>
      <c r="D142" s="32">
        <v>227</v>
      </c>
      <c r="E142" s="32">
        <v>271</v>
      </c>
      <c r="F142" s="32">
        <v>245</v>
      </c>
      <c r="G142" s="32">
        <v>166</v>
      </c>
      <c r="H142" s="32">
        <v>196</v>
      </c>
    </row>
    <row r="143" spans="2:8" ht="17.5" customHeight="1">
      <c r="B143" s="76" t="s">
        <v>410</v>
      </c>
      <c r="C143" s="32">
        <v>305</v>
      </c>
      <c r="D143" s="32">
        <v>270</v>
      </c>
      <c r="E143" s="32">
        <v>276</v>
      </c>
      <c r="F143" s="32">
        <v>307</v>
      </c>
      <c r="G143" s="32">
        <v>185</v>
      </c>
      <c r="H143" s="32">
        <v>212</v>
      </c>
    </row>
    <row r="144" spans="2:8" ht="17.5" customHeight="1">
      <c r="B144" s="76" t="s">
        <v>411</v>
      </c>
      <c r="C144" s="32">
        <v>186</v>
      </c>
      <c r="D144" s="32">
        <v>217</v>
      </c>
      <c r="E144" s="32">
        <v>236</v>
      </c>
      <c r="F144" s="32">
        <v>255</v>
      </c>
      <c r="G144" s="32">
        <v>231</v>
      </c>
      <c r="H144" s="32">
        <v>246</v>
      </c>
    </row>
    <row r="145" spans="2:8" ht="17.5" customHeight="1">
      <c r="B145" s="133" t="s">
        <v>419</v>
      </c>
    </row>
    <row r="147" spans="2:8" ht="17.5" customHeight="1">
      <c r="B147" s="48" t="s">
        <v>420</v>
      </c>
    </row>
    <row r="148" spans="2:8" ht="17.5" customHeight="1">
      <c r="B148" s="62" t="s">
        <v>421</v>
      </c>
      <c r="C148" s="63" t="s">
        <v>422</v>
      </c>
      <c r="D148" s="63" t="s">
        <v>423</v>
      </c>
      <c r="E148" s="63" t="s">
        <v>424</v>
      </c>
      <c r="F148" s="63" t="s">
        <v>335</v>
      </c>
      <c r="G148" s="63" t="s">
        <v>256</v>
      </c>
      <c r="H148" s="63" t="s">
        <v>257</v>
      </c>
    </row>
    <row r="149" spans="2:8" ht="17.5" customHeight="1">
      <c r="B149" s="69" t="s">
        <v>425</v>
      </c>
      <c r="C149" s="70">
        <v>54</v>
      </c>
      <c r="D149" s="70">
        <v>40</v>
      </c>
      <c r="E149" s="70">
        <v>40</v>
      </c>
      <c r="F149" s="70">
        <v>38</v>
      </c>
      <c r="G149" s="70">
        <v>39</v>
      </c>
      <c r="H149" s="70">
        <v>40</v>
      </c>
    </row>
    <row r="150" spans="2:8" ht="17.5" customHeight="1">
      <c r="B150" s="64" t="s">
        <v>409</v>
      </c>
      <c r="C150" s="33">
        <v>10</v>
      </c>
      <c r="D150" s="33">
        <v>3</v>
      </c>
      <c r="E150" s="33">
        <v>3</v>
      </c>
      <c r="F150" s="33">
        <v>3</v>
      </c>
      <c r="G150" s="33">
        <v>3</v>
      </c>
      <c r="H150" s="33">
        <v>3</v>
      </c>
    </row>
    <row r="151" spans="2:8" ht="17.5" customHeight="1">
      <c r="B151" s="64" t="s">
        <v>411</v>
      </c>
      <c r="C151" s="33">
        <v>44</v>
      </c>
      <c r="D151" s="33">
        <v>37</v>
      </c>
      <c r="E151" s="33">
        <v>37</v>
      </c>
      <c r="F151" s="33">
        <v>35</v>
      </c>
      <c r="G151" s="33">
        <v>36</v>
      </c>
      <c r="H151" s="33">
        <v>37</v>
      </c>
    </row>
    <row r="152" spans="2:8" ht="17.5" customHeight="1">
      <c r="B152" s="69" t="s">
        <v>262</v>
      </c>
      <c r="C152" s="70">
        <v>17</v>
      </c>
      <c r="D152" s="70">
        <v>10</v>
      </c>
      <c r="E152" s="70">
        <v>10</v>
      </c>
      <c r="F152" s="70">
        <v>8</v>
      </c>
      <c r="G152" s="70">
        <v>8</v>
      </c>
      <c r="H152" s="70">
        <v>8</v>
      </c>
    </row>
    <row r="153" spans="2:8" ht="17.5" customHeight="1">
      <c r="B153" s="64" t="s">
        <v>409</v>
      </c>
      <c r="C153" s="33">
        <v>8</v>
      </c>
      <c r="D153" s="33">
        <v>1</v>
      </c>
      <c r="E153" s="33">
        <v>1</v>
      </c>
      <c r="F153" s="33">
        <v>1</v>
      </c>
      <c r="G153" s="33">
        <v>1</v>
      </c>
      <c r="H153" s="33">
        <v>1</v>
      </c>
    </row>
    <row r="154" spans="2:8" ht="17.5" customHeight="1">
      <c r="B154" s="64" t="s">
        <v>411</v>
      </c>
      <c r="C154" s="33">
        <v>9</v>
      </c>
      <c r="D154" s="33">
        <v>9</v>
      </c>
      <c r="E154" s="33">
        <v>9</v>
      </c>
      <c r="F154" s="33">
        <v>7</v>
      </c>
      <c r="G154" s="33">
        <v>7</v>
      </c>
      <c r="H154" s="33">
        <v>7</v>
      </c>
    </row>
    <row r="155" spans="2:8" ht="17.5" customHeight="1">
      <c r="B155" s="69" t="s">
        <v>426</v>
      </c>
      <c r="C155" s="70">
        <v>37</v>
      </c>
      <c r="D155" s="70">
        <v>30</v>
      </c>
      <c r="E155" s="70">
        <v>30</v>
      </c>
      <c r="F155" s="70">
        <v>30</v>
      </c>
      <c r="G155" s="70">
        <v>31</v>
      </c>
      <c r="H155" s="70">
        <v>32</v>
      </c>
    </row>
    <row r="156" spans="2:8" ht="17.5" customHeight="1">
      <c r="B156" s="64" t="s">
        <v>409</v>
      </c>
      <c r="C156" s="33">
        <v>2</v>
      </c>
      <c r="D156" s="33">
        <v>2</v>
      </c>
      <c r="E156" s="33">
        <v>2</v>
      </c>
      <c r="F156" s="33">
        <v>2</v>
      </c>
      <c r="G156" s="33">
        <v>2</v>
      </c>
      <c r="H156" s="33">
        <v>2</v>
      </c>
    </row>
    <row r="157" spans="2:8" ht="17.5" customHeight="1">
      <c r="B157" s="64" t="s">
        <v>411</v>
      </c>
      <c r="C157" s="33">
        <v>35</v>
      </c>
      <c r="D157" s="33">
        <v>28</v>
      </c>
      <c r="E157" s="33">
        <v>28</v>
      </c>
      <c r="F157" s="33">
        <v>28</v>
      </c>
      <c r="G157" s="33">
        <v>29</v>
      </c>
      <c r="H157" s="33">
        <v>30</v>
      </c>
    </row>
    <row r="158" spans="2:8" ht="17.5" customHeight="1">
      <c r="B158" s="133" t="s">
        <v>419</v>
      </c>
    </row>
    <row r="160" spans="2:8" ht="17.5" customHeight="1">
      <c r="B160" s="48" t="s">
        <v>427</v>
      </c>
    </row>
    <row r="161" spans="2:8" ht="17.5" customHeight="1">
      <c r="B161" s="62" t="s">
        <v>428</v>
      </c>
      <c r="C161" s="63">
        <v>2017</v>
      </c>
      <c r="D161" s="63">
        <v>2018</v>
      </c>
      <c r="E161" s="63">
        <v>2019</v>
      </c>
      <c r="F161" s="63" t="s">
        <v>335</v>
      </c>
      <c r="G161" s="63" t="s">
        <v>256</v>
      </c>
      <c r="H161" s="63" t="s">
        <v>257</v>
      </c>
    </row>
    <row r="162" spans="2:8" ht="17.5" customHeight="1">
      <c r="B162" s="30" t="s">
        <v>429</v>
      </c>
      <c r="C162" s="31">
        <v>5160</v>
      </c>
      <c r="D162" s="31">
        <v>4991</v>
      </c>
      <c r="E162" s="31">
        <v>5194</v>
      </c>
      <c r="F162" s="31">
        <v>4953</v>
      </c>
      <c r="G162" s="31">
        <v>5076</v>
      </c>
      <c r="H162" s="140">
        <v>5003</v>
      </c>
    </row>
    <row r="163" spans="2:8" ht="17.5" customHeight="1">
      <c r="B163" s="64" t="s">
        <v>409</v>
      </c>
      <c r="C163" s="65">
        <v>1447</v>
      </c>
      <c r="D163" s="65">
        <v>1418</v>
      </c>
      <c r="E163" s="65">
        <v>1389</v>
      </c>
      <c r="F163" s="65">
        <v>1844</v>
      </c>
      <c r="G163" s="65">
        <v>2080</v>
      </c>
      <c r="H163" s="141">
        <v>1950</v>
      </c>
    </row>
    <row r="164" spans="2:8" ht="17.5" customHeight="1">
      <c r="B164" s="64" t="s">
        <v>411</v>
      </c>
      <c r="C164" s="65">
        <v>1214</v>
      </c>
      <c r="D164" s="33">
        <v>815</v>
      </c>
      <c r="E164" s="33">
        <v>1046</v>
      </c>
      <c r="F164" s="33">
        <v>447</v>
      </c>
      <c r="G164" s="33">
        <v>252</v>
      </c>
      <c r="H164" s="143">
        <v>197</v>
      </c>
    </row>
    <row r="165" spans="2:8" ht="17.5" customHeight="1">
      <c r="B165" s="64" t="s">
        <v>410</v>
      </c>
      <c r="C165" s="65">
        <v>2499</v>
      </c>
      <c r="D165" s="65">
        <v>2758</v>
      </c>
      <c r="E165" s="65">
        <v>2759</v>
      </c>
      <c r="F165" s="65">
        <v>2662</v>
      </c>
      <c r="G165" s="65">
        <v>2744</v>
      </c>
      <c r="H165" s="141">
        <v>2856</v>
      </c>
    </row>
    <row r="166" spans="2:8" ht="17.5" customHeight="1">
      <c r="B166" s="66" t="s">
        <v>430</v>
      </c>
      <c r="C166" s="67">
        <v>1</v>
      </c>
      <c r="D166" s="67">
        <v>1</v>
      </c>
      <c r="E166" s="67">
        <v>1</v>
      </c>
      <c r="F166" s="67">
        <v>1</v>
      </c>
      <c r="G166" s="67">
        <v>1</v>
      </c>
      <c r="H166" s="441">
        <v>1</v>
      </c>
    </row>
    <row r="167" spans="2:8" ht="17.5" customHeight="1">
      <c r="B167" s="68" t="s">
        <v>409</v>
      </c>
      <c r="C167" s="99">
        <v>0.28000000000000003</v>
      </c>
      <c r="D167" s="99">
        <v>0.28399999999999997</v>
      </c>
      <c r="E167" s="99">
        <v>0.26700000000000002</v>
      </c>
      <c r="F167" s="99">
        <v>0.372</v>
      </c>
      <c r="G167" s="99">
        <v>0.41</v>
      </c>
      <c r="H167" s="246">
        <v>0.38976614031581053</v>
      </c>
    </row>
    <row r="168" spans="2:8" ht="17.5" customHeight="1">
      <c r="B168" s="68" t="s">
        <v>411</v>
      </c>
      <c r="C168" s="99">
        <v>0.23499999999999999</v>
      </c>
      <c r="D168" s="99">
        <v>0.16300000000000001</v>
      </c>
      <c r="E168" s="99">
        <v>0.20100000000000001</v>
      </c>
      <c r="F168" s="99">
        <v>0.09</v>
      </c>
      <c r="G168" s="99">
        <v>0.05</v>
      </c>
      <c r="H168" s="246">
        <v>3.9376374175494701E-2</v>
      </c>
    </row>
    <row r="169" spans="2:8" ht="17.5" customHeight="1">
      <c r="B169" s="68" t="s">
        <v>410</v>
      </c>
      <c r="C169" s="99">
        <v>0.48399999999999999</v>
      </c>
      <c r="D169" s="99">
        <v>0.55300000000000005</v>
      </c>
      <c r="E169" s="99">
        <v>0.53100000000000003</v>
      </c>
      <c r="F169" s="99">
        <v>0.53700000000000003</v>
      </c>
      <c r="G169" s="99">
        <v>0.54100000000000004</v>
      </c>
      <c r="H169" s="246">
        <v>0.57085748550869475</v>
      </c>
    </row>
    <row r="170" spans="2:8" ht="17.5" customHeight="1">
      <c r="B170" s="50" t="s">
        <v>431</v>
      </c>
    </row>
    <row r="172" spans="2:8" ht="17.5" customHeight="1">
      <c r="B172" s="25" t="s">
        <v>17</v>
      </c>
    </row>
    <row r="174" spans="2:8" ht="17.5" customHeight="1">
      <c r="B174" s="48" t="s">
        <v>18</v>
      </c>
    </row>
    <row r="175" spans="2:8" ht="17.5" customHeight="1">
      <c r="B175" s="95" t="s">
        <v>432</v>
      </c>
      <c r="C175" s="71">
        <v>2017</v>
      </c>
      <c r="D175" s="71">
        <v>2018</v>
      </c>
      <c r="E175" s="71">
        <v>2019</v>
      </c>
      <c r="F175" s="71" t="s">
        <v>335</v>
      </c>
      <c r="G175" s="71" t="s">
        <v>256</v>
      </c>
      <c r="H175" s="71" t="s">
        <v>257</v>
      </c>
    </row>
    <row r="176" spans="2:8" ht="17.5" customHeight="1">
      <c r="B176" s="96" t="s">
        <v>433</v>
      </c>
      <c r="C176" s="97">
        <v>3186</v>
      </c>
      <c r="D176" s="97">
        <v>3210</v>
      </c>
      <c r="E176" s="97">
        <v>3401</v>
      </c>
      <c r="F176" s="97">
        <v>3741</v>
      </c>
      <c r="G176" s="97">
        <v>3808</v>
      </c>
      <c r="H176" s="97">
        <v>4051</v>
      </c>
    </row>
    <row r="177" spans="2:8" ht="17.5" customHeight="1">
      <c r="B177" s="76" t="s">
        <v>434</v>
      </c>
      <c r="C177" s="32">
        <v>468</v>
      </c>
      <c r="D177" s="32">
        <v>459</v>
      </c>
      <c r="E177" s="32">
        <v>506</v>
      </c>
      <c r="F177" s="35">
        <v>1069</v>
      </c>
      <c r="G177" s="35">
        <v>1136</v>
      </c>
      <c r="H177" s="35">
        <v>1245</v>
      </c>
    </row>
    <row r="178" spans="2:8" ht="17.5" customHeight="1">
      <c r="B178" s="76" t="s">
        <v>435</v>
      </c>
      <c r="C178" s="32">
        <v>781</v>
      </c>
      <c r="D178" s="32">
        <v>812</v>
      </c>
      <c r="E178" s="32">
        <v>840</v>
      </c>
      <c r="F178" s="32">
        <v>945</v>
      </c>
      <c r="G178" s="35">
        <v>1126</v>
      </c>
      <c r="H178" s="35">
        <v>1163</v>
      </c>
    </row>
    <row r="179" spans="2:8" ht="17.5" customHeight="1">
      <c r="B179" s="76" t="s">
        <v>436</v>
      </c>
      <c r="C179" s="32">
        <v>685</v>
      </c>
      <c r="D179" s="32">
        <v>732</v>
      </c>
      <c r="E179" s="32">
        <v>799</v>
      </c>
      <c r="F179" s="32">
        <v>765</v>
      </c>
      <c r="G179" s="32">
        <v>665</v>
      </c>
      <c r="H179" s="32">
        <v>715</v>
      </c>
    </row>
    <row r="180" spans="2:8" ht="17.5" customHeight="1">
      <c r="B180" s="76" t="s">
        <v>437</v>
      </c>
      <c r="C180" s="32">
        <v>50</v>
      </c>
      <c r="D180" s="32">
        <v>76</v>
      </c>
      <c r="E180" s="32">
        <v>59</v>
      </c>
      <c r="F180" s="32">
        <v>62</v>
      </c>
      <c r="G180" s="32">
        <v>66</v>
      </c>
      <c r="H180" s="32">
        <v>67</v>
      </c>
    </row>
    <row r="181" spans="2:8" ht="17.5" customHeight="1">
      <c r="B181" s="76" t="s">
        <v>438</v>
      </c>
      <c r="C181" s="32">
        <v>19</v>
      </c>
      <c r="D181" s="32">
        <v>28</v>
      </c>
      <c r="E181" s="32">
        <v>28</v>
      </c>
      <c r="F181" s="32">
        <v>21</v>
      </c>
      <c r="G181" s="32">
        <v>26</v>
      </c>
      <c r="H181" s="32">
        <v>23</v>
      </c>
    </row>
    <row r="182" spans="2:8" ht="17.5" customHeight="1">
      <c r="B182" s="76" t="s">
        <v>439</v>
      </c>
      <c r="C182" s="32">
        <v>929</v>
      </c>
      <c r="D182" s="32">
        <v>838</v>
      </c>
      <c r="E182" s="32">
        <v>854</v>
      </c>
      <c r="F182" s="32">
        <v>470</v>
      </c>
      <c r="G182" s="32">
        <v>227</v>
      </c>
      <c r="H182" s="32">
        <v>223</v>
      </c>
    </row>
    <row r="183" spans="2:8" ht="17.5" customHeight="1">
      <c r="B183" s="76" t="s">
        <v>440</v>
      </c>
      <c r="C183" s="32">
        <v>254</v>
      </c>
      <c r="D183" s="32">
        <v>265</v>
      </c>
      <c r="E183" s="32">
        <v>315</v>
      </c>
      <c r="F183" s="32">
        <v>409</v>
      </c>
      <c r="G183" s="32">
        <v>562</v>
      </c>
      <c r="H183" s="32">
        <v>615</v>
      </c>
    </row>
    <row r="184" spans="2:8" ht="17.5" customHeight="1">
      <c r="B184" s="96" t="s">
        <v>441</v>
      </c>
      <c r="C184" s="108">
        <v>1</v>
      </c>
      <c r="D184" s="108">
        <v>1</v>
      </c>
      <c r="E184" s="108">
        <v>1</v>
      </c>
      <c r="F184" s="108">
        <v>1</v>
      </c>
      <c r="G184" s="108">
        <v>1</v>
      </c>
      <c r="H184" s="108">
        <v>1</v>
      </c>
    </row>
    <row r="185" spans="2:8" ht="17.5" customHeight="1">
      <c r="B185" s="109" t="s">
        <v>434</v>
      </c>
      <c r="C185" s="110">
        <v>0.14699999999999999</v>
      </c>
      <c r="D185" s="110">
        <v>0.14299999999999999</v>
      </c>
      <c r="E185" s="110">
        <v>0.14899999999999999</v>
      </c>
      <c r="F185" s="110">
        <v>0.28599999999999998</v>
      </c>
      <c r="G185" s="110">
        <v>0.29799999999999999</v>
      </c>
      <c r="H185" s="110">
        <v>0.307</v>
      </c>
    </row>
    <row r="186" spans="2:8" ht="17.5" customHeight="1">
      <c r="B186" s="109" t="s">
        <v>435</v>
      </c>
      <c r="C186" s="110">
        <v>0.245</v>
      </c>
      <c r="D186" s="110">
        <v>0.253</v>
      </c>
      <c r="E186" s="110">
        <v>0.247</v>
      </c>
      <c r="F186" s="110">
        <v>0.253</v>
      </c>
      <c r="G186" s="110">
        <v>0.29599999999999999</v>
      </c>
      <c r="H186" s="110">
        <v>0.28699999999999998</v>
      </c>
    </row>
    <row r="187" spans="2:8" ht="17.5" customHeight="1">
      <c r="B187" s="109" t="s">
        <v>436</v>
      </c>
      <c r="C187" s="110">
        <v>0.215</v>
      </c>
      <c r="D187" s="110">
        <v>0.22800000000000001</v>
      </c>
      <c r="E187" s="110">
        <v>0.23499999999999999</v>
      </c>
      <c r="F187" s="110">
        <v>0.20399999999999999</v>
      </c>
      <c r="G187" s="110">
        <v>0.17499999999999999</v>
      </c>
      <c r="H187" s="110">
        <v>0.17599999999999999</v>
      </c>
    </row>
    <row r="188" spans="2:8" ht="17.5" customHeight="1">
      <c r="B188" s="109" t="s">
        <v>437</v>
      </c>
      <c r="C188" s="110">
        <v>1.6E-2</v>
      </c>
      <c r="D188" s="110">
        <v>2.4E-2</v>
      </c>
      <c r="E188" s="110">
        <v>1.7000000000000001E-2</v>
      </c>
      <c r="F188" s="110">
        <v>1.7000000000000001E-2</v>
      </c>
      <c r="G188" s="110">
        <v>1.7000000000000001E-2</v>
      </c>
      <c r="H188" s="110">
        <v>1.7000000000000001E-2</v>
      </c>
    </row>
    <row r="189" spans="2:8" ht="17.5" customHeight="1">
      <c r="B189" s="109" t="s">
        <v>438</v>
      </c>
      <c r="C189" s="110">
        <v>6.0000000000000001E-3</v>
      </c>
      <c r="D189" s="110">
        <v>8.9999999999999993E-3</v>
      </c>
      <c r="E189" s="110">
        <v>8.0000000000000002E-3</v>
      </c>
      <c r="F189" s="110">
        <v>6.0000000000000001E-3</v>
      </c>
      <c r="G189" s="110">
        <v>7.0000000000000001E-3</v>
      </c>
      <c r="H189" s="110">
        <v>6.0000000000000001E-3</v>
      </c>
    </row>
    <row r="190" spans="2:8" ht="17.5" customHeight="1">
      <c r="B190" s="109" t="s">
        <v>439</v>
      </c>
      <c r="C190" s="110">
        <v>0.29199999999999998</v>
      </c>
      <c r="D190" s="110">
        <v>0.26100000000000001</v>
      </c>
      <c r="E190" s="110">
        <v>0.251</v>
      </c>
      <c r="F190" s="110">
        <v>0.126</v>
      </c>
      <c r="G190" s="110">
        <v>0.06</v>
      </c>
      <c r="H190" s="110">
        <v>5.5E-2</v>
      </c>
    </row>
    <row r="191" spans="2:8" ht="17.5" customHeight="1">
      <c r="B191" s="109" t="s">
        <v>440</v>
      </c>
      <c r="C191" s="110">
        <v>0.08</v>
      </c>
      <c r="D191" s="110">
        <v>8.3000000000000004E-2</v>
      </c>
      <c r="E191" s="110">
        <v>9.2999999999999999E-2</v>
      </c>
      <c r="F191" s="110">
        <v>0.109</v>
      </c>
      <c r="G191" s="110">
        <v>0.14799999999999999</v>
      </c>
      <c r="H191" s="110">
        <v>0.152</v>
      </c>
    </row>
    <row r="192" spans="2:8" ht="17.5" customHeight="1">
      <c r="B192" s="81" t="s">
        <v>265</v>
      </c>
    </row>
    <row r="193" spans="2:8" ht="17.5" customHeight="1">
      <c r="B193" s="100"/>
    </row>
    <row r="194" spans="2:8" ht="17.5" customHeight="1">
      <c r="B194" s="48" t="s">
        <v>19</v>
      </c>
      <c r="C194" s="17"/>
      <c r="D194" s="17"/>
      <c r="E194" s="17"/>
      <c r="F194" s="17"/>
      <c r="G194" s="17"/>
    </row>
    <row r="195" spans="2:8" ht="17.5" customHeight="1">
      <c r="B195" s="111" t="s">
        <v>442</v>
      </c>
      <c r="C195" s="112">
        <v>2017</v>
      </c>
      <c r="D195" s="112">
        <v>2018</v>
      </c>
      <c r="E195" s="112">
        <v>2019</v>
      </c>
      <c r="F195" s="112" t="s">
        <v>335</v>
      </c>
      <c r="G195" s="112" t="s">
        <v>256</v>
      </c>
      <c r="H195" s="112" t="s">
        <v>257</v>
      </c>
    </row>
    <row r="196" spans="2:8" ht="17.5" customHeight="1">
      <c r="B196" s="96" t="s">
        <v>336</v>
      </c>
      <c r="C196" s="97">
        <v>2877</v>
      </c>
      <c r="D196" s="97">
        <v>2909</v>
      </c>
      <c r="E196" s="97">
        <v>2961</v>
      </c>
      <c r="F196" s="97">
        <v>3691</v>
      </c>
      <c r="G196" s="97">
        <v>3831</v>
      </c>
      <c r="H196" s="97">
        <v>3932</v>
      </c>
    </row>
    <row r="197" spans="2:8" ht="17.5" customHeight="1">
      <c r="B197" s="113" t="s">
        <v>434</v>
      </c>
      <c r="C197" s="32">
        <v>726</v>
      </c>
      <c r="D197" s="32">
        <v>736</v>
      </c>
      <c r="E197" s="32">
        <v>759</v>
      </c>
      <c r="F197" s="32">
        <v>1304</v>
      </c>
      <c r="G197" s="32">
        <v>1319</v>
      </c>
      <c r="H197" s="32">
        <v>1327</v>
      </c>
    </row>
    <row r="198" spans="2:8" ht="17.5" customHeight="1">
      <c r="B198" s="113" t="s">
        <v>435</v>
      </c>
      <c r="C198" s="35">
        <v>1152</v>
      </c>
      <c r="D198" s="35">
        <v>1153</v>
      </c>
      <c r="E198" s="35">
        <v>1168</v>
      </c>
      <c r="F198" s="35">
        <v>1219</v>
      </c>
      <c r="G198" s="35">
        <v>1206</v>
      </c>
      <c r="H198" s="35">
        <v>1202</v>
      </c>
    </row>
    <row r="199" spans="2:8" ht="17.5" customHeight="1">
      <c r="B199" s="113" t="s">
        <v>436</v>
      </c>
      <c r="C199" s="32">
        <v>647</v>
      </c>
      <c r="D199" s="32">
        <v>648</v>
      </c>
      <c r="E199" s="32">
        <v>653</v>
      </c>
      <c r="F199" s="32">
        <v>716</v>
      </c>
      <c r="G199" s="32">
        <v>676</v>
      </c>
      <c r="H199" s="32">
        <v>701</v>
      </c>
    </row>
    <row r="200" spans="2:8" ht="17.5" customHeight="1">
      <c r="B200" s="113" t="s">
        <v>437</v>
      </c>
      <c r="C200" s="32">
        <v>57</v>
      </c>
      <c r="D200" s="32">
        <v>57</v>
      </c>
      <c r="E200" s="32">
        <v>55</v>
      </c>
      <c r="F200" s="32">
        <v>68</v>
      </c>
      <c r="G200" s="32">
        <v>70</v>
      </c>
      <c r="H200" s="32">
        <v>71</v>
      </c>
    </row>
    <row r="201" spans="2:8" ht="17.5" customHeight="1">
      <c r="B201" s="113" t="s">
        <v>438</v>
      </c>
      <c r="C201" s="32">
        <v>19</v>
      </c>
      <c r="D201" s="32">
        <v>21</v>
      </c>
      <c r="E201" s="32">
        <v>20</v>
      </c>
      <c r="F201" s="32">
        <v>16</v>
      </c>
      <c r="G201" s="32">
        <v>20</v>
      </c>
      <c r="H201" s="32">
        <v>18</v>
      </c>
    </row>
    <row r="202" spans="2:8" ht="17.5" customHeight="1">
      <c r="B202" s="113" t="s">
        <v>439</v>
      </c>
      <c r="C202" s="32">
        <v>137</v>
      </c>
      <c r="D202" s="32">
        <v>137</v>
      </c>
      <c r="E202" s="32">
        <v>137</v>
      </c>
      <c r="F202" s="32">
        <v>128</v>
      </c>
      <c r="G202" s="32">
        <v>147</v>
      </c>
      <c r="H202" s="32">
        <v>161</v>
      </c>
    </row>
    <row r="203" spans="2:8" ht="17.5" customHeight="1">
      <c r="B203" s="113" t="s">
        <v>440</v>
      </c>
      <c r="C203" s="32">
        <v>139</v>
      </c>
      <c r="D203" s="32">
        <v>157</v>
      </c>
      <c r="E203" s="32">
        <v>169</v>
      </c>
      <c r="F203" s="32">
        <v>240</v>
      </c>
      <c r="G203" s="32">
        <v>393</v>
      </c>
      <c r="H203" s="32">
        <v>452</v>
      </c>
    </row>
    <row r="204" spans="2:8" ht="17.5" customHeight="1">
      <c r="B204" s="96" t="s">
        <v>430</v>
      </c>
      <c r="C204" s="108">
        <v>1</v>
      </c>
      <c r="D204" s="108">
        <v>1</v>
      </c>
      <c r="E204" s="108">
        <v>1</v>
      </c>
      <c r="F204" s="108">
        <v>1</v>
      </c>
      <c r="G204" s="108">
        <v>1</v>
      </c>
      <c r="H204" s="108">
        <v>1</v>
      </c>
    </row>
    <row r="205" spans="2:8" ht="17.5" customHeight="1">
      <c r="B205" s="114" t="s">
        <v>434</v>
      </c>
      <c r="C205" s="110">
        <v>0.252</v>
      </c>
      <c r="D205" s="110">
        <v>0.253</v>
      </c>
      <c r="E205" s="110">
        <v>0.25600000000000001</v>
      </c>
      <c r="F205" s="110">
        <v>0.35299999999999998</v>
      </c>
      <c r="G205" s="110">
        <v>0.34399999999999997</v>
      </c>
      <c r="H205" s="110">
        <v>0.33700000000000002</v>
      </c>
    </row>
    <row r="206" spans="2:8" ht="17.5" customHeight="1">
      <c r="B206" s="114" t="s">
        <v>435</v>
      </c>
      <c r="C206" s="110">
        <v>0.4</v>
      </c>
      <c r="D206" s="110">
        <v>0.39600000000000002</v>
      </c>
      <c r="E206" s="110">
        <v>0.39400000000000002</v>
      </c>
      <c r="F206" s="110">
        <v>0.33</v>
      </c>
      <c r="G206" s="110">
        <v>0.315</v>
      </c>
      <c r="H206" s="110">
        <v>0.30599999999999999</v>
      </c>
    </row>
    <row r="207" spans="2:8" ht="17.5" customHeight="1">
      <c r="B207" s="114" t="s">
        <v>436</v>
      </c>
      <c r="C207" s="110">
        <v>0.22500000000000001</v>
      </c>
      <c r="D207" s="110">
        <v>0.223</v>
      </c>
      <c r="E207" s="110">
        <v>0.221</v>
      </c>
      <c r="F207" s="110">
        <v>0.19400000000000001</v>
      </c>
      <c r="G207" s="110">
        <v>0.17599999999999999</v>
      </c>
      <c r="H207" s="110">
        <v>0.17799999999999999</v>
      </c>
    </row>
    <row r="208" spans="2:8" ht="17.5" customHeight="1">
      <c r="B208" s="114" t="s">
        <v>437</v>
      </c>
      <c r="C208" s="110">
        <v>0.02</v>
      </c>
      <c r="D208" s="110">
        <v>0.02</v>
      </c>
      <c r="E208" s="110">
        <v>1.9E-2</v>
      </c>
      <c r="F208" s="110">
        <v>1.7999999999999999E-2</v>
      </c>
      <c r="G208" s="110">
        <v>1.7999999999999999E-2</v>
      </c>
      <c r="H208" s="110">
        <v>1.7999999999999999E-2</v>
      </c>
    </row>
    <row r="209" spans="2:8" ht="17.5" customHeight="1">
      <c r="B209" s="114" t="s">
        <v>438</v>
      </c>
      <c r="C209" s="110">
        <v>7.0000000000000001E-3</v>
      </c>
      <c r="D209" s="110">
        <v>7.0000000000000001E-3</v>
      </c>
      <c r="E209" s="110">
        <v>7.0000000000000001E-3</v>
      </c>
      <c r="F209" s="110">
        <v>4.0000000000000001E-3</v>
      </c>
      <c r="G209" s="110">
        <v>5.0000000000000001E-3</v>
      </c>
      <c r="H209" s="110">
        <v>5.0000000000000001E-3</v>
      </c>
    </row>
    <row r="210" spans="2:8" ht="17.5" customHeight="1">
      <c r="B210" s="114" t="s">
        <v>439</v>
      </c>
      <c r="C210" s="110">
        <v>4.8000000000000001E-2</v>
      </c>
      <c r="D210" s="110">
        <v>4.7E-2</v>
      </c>
      <c r="E210" s="110">
        <v>4.5999999999999999E-2</v>
      </c>
      <c r="F210" s="110">
        <v>3.5000000000000003E-2</v>
      </c>
      <c r="G210" s="110">
        <v>3.7999999999999999E-2</v>
      </c>
      <c r="H210" s="110">
        <v>4.1000000000000002E-2</v>
      </c>
    </row>
    <row r="211" spans="2:8" ht="17.5" customHeight="1">
      <c r="B211" s="114" t="s">
        <v>440</v>
      </c>
      <c r="C211" s="110">
        <v>4.8000000000000001E-2</v>
      </c>
      <c r="D211" s="110">
        <v>5.3999999999999999E-2</v>
      </c>
      <c r="E211" s="110">
        <v>5.7000000000000002E-2</v>
      </c>
      <c r="F211" s="110">
        <v>6.5000000000000002E-2</v>
      </c>
      <c r="G211" s="110">
        <v>0.10299999999999999</v>
      </c>
      <c r="H211" s="110">
        <v>0.115</v>
      </c>
    </row>
    <row r="212" spans="2:8" ht="17.5" customHeight="1">
      <c r="B212" s="81" t="s">
        <v>265</v>
      </c>
      <c r="C212" s="17"/>
      <c r="D212" s="17"/>
      <c r="E212" s="17"/>
      <c r="F212" s="17"/>
      <c r="G212" s="17"/>
    </row>
    <row r="214" spans="2:8" ht="17.5" customHeight="1">
      <c r="B214" s="49" t="s">
        <v>20</v>
      </c>
      <c r="C214" s="17"/>
      <c r="D214" s="17"/>
      <c r="E214" s="17"/>
      <c r="F214" s="17"/>
      <c r="G214" s="17"/>
    </row>
    <row r="215" spans="2:8" ht="17.5" customHeight="1">
      <c r="B215" s="111" t="s">
        <v>442</v>
      </c>
      <c r="C215" s="112">
        <v>2017</v>
      </c>
      <c r="D215" s="112">
        <v>2018</v>
      </c>
      <c r="E215" s="112">
        <v>2019</v>
      </c>
      <c r="F215" s="115" t="s">
        <v>335</v>
      </c>
      <c r="G215" s="115" t="s">
        <v>256</v>
      </c>
      <c r="H215" s="115" t="s">
        <v>257</v>
      </c>
    </row>
    <row r="216" spans="2:8" ht="17.5" customHeight="1">
      <c r="B216" s="30" t="s">
        <v>336</v>
      </c>
      <c r="C216" s="31">
        <v>1567</v>
      </c>
      <c r="D216" s="31">
        <v>1416</v>
      </c>
      <c r="E216" s="31">
        <v>1452</v>
      </c>
      <c r="F216" s="31">
        <v>1869</v>
      </c>
      <c r="G216" s="31">
        <v>1955</v>
      </c>
      <c r="H216" s="31">
        <v>1977</v>
      </c>
    </row>
    <row r="217" spans="2:8" ht="17.5" customHeight="1">
      <c r="B217" s="113" t="s">
        <v>434</v>
      </c>
      <c r="C217" s="32">
        <v>461</v>
      </c>
      <c r="D217" s="33">
        <v>439</v>
      </c>
      <c r="E217" s="33">
        <v>456</v>
      </c>
      <c r="F217" s="33">
        <v>699</v>
      </c>
      <c r="G217" s="116">
        <v>716</v>
      </c>
      <c r="H217" s="116">
        <v>731</v>
      </c>
    </row>
    <row r="218" spans="2:8" ht="17.5" customHeight="1">
      <c r="B218" s="113" t="s">
        <v>435</v>
      </c>
      <c r="C218" s="32">
        <v>632</v>
      </c>
      <c r="D218" s="33">
        <v>606</v>
      </c>
      <c r="E218" s="33">
        <v>617</v>
      </c>
      <c r="F218" s="33">
        <v>727</v>
      </c>
      <c r="G218" s="116">
        <v>744</v>
      </c>
      <c r="H218" s="116">
        <v>743</v>
      </c>
    </row>
    <row r="219" spans="2:8" ht="17.5" customHeight="1">
      <c r="B219" s="113" t="s">
        <v>436</v>
      </c>
      <c r="C219" s="32">
        <v>288</v>
      </c>
      <c r="D219" s="33">
        <v>260</v>
      </c>
      <c r="E219" s="33">
        <v>266</v>
      </c>
      <c r="F219" s="33">
        <v>320</v>
      </c>
      <c r="G219" s="116">
        <v>316</v>
      </c>
      <c r="H219" s="116">
        <v>333</v>
      </c>
    </row>
    <row r="220" spans="2:8" ht="17.5" customHeight="1">
      <c r="B220" s="113" t="s">
        <v>443</v>
      </c>
      <c r="C220" s="32">
        <v>21</v>
      </c>
      <c r="D220" s="33">
        <v>16</v>
      </c>
      <c r="E220" s="33">
        <v>18</v>
      </c>
      <c r="F220" s="33">
        <v>26</v>
      </c>
      <c r="G220" s="116">
        <v>26</v>
      </c>
      <c r="H220" s="116">
        <v>28</v>
      </c>
    </row>
    <row r="221" spans="2:8" ht="17.5" customHeight="1">
      <c r="B221" s="113" t="s">
        <v>438</v>
      </c>
      <c r="C221" s="32">
        <v>15</v>
      </c>
      <c r="D221" s="33">
        <v>11</v>
      </c>
      <c r="E221" s="33">
        <v>12</v>
      </c>
      <c r="F221" s="33">
        <v>14</v>
      </c>
      <c r="G221" s="116">
        <v>17</v>
      </c>
      <c r="H221" s="116">
        <v>18</v>
      </c>
    </row>
    <row r="222" spans="2:8" ht="17.5" customHeight="1">
      <c r="B222" s="113" t="s">
        <v>439</v>
      </c>
      <c r="C222" s="32">
        <v>102</v>
      </c>
      <c r="D222" s="33">
        <v>46</v>
      </c>
      <c r="E222" s="33">
        <v>40</v>
      </c>
      <c r="F222" s="33">
        <v>36</v>
      </c>
      <c r="G222" s="116">
        <v>57</v>
      </c>
      <c r="H222" s="116">
        <v>55</v>
      </c>
    </row>
    <row r="223" spans="2:8" ht="17.5" customHeight="1">
      <c r="B223" s="113" t="s">
        <v>440</v>
      </c>
      <c r="C223" s="32">
        <v>48</v>
      </c>
      <c r="D223" s="33">
        <v>38</v>
      </c>
      <c r="E223" s="33">
        <v>43</v>
      </c>
      <c r="F223" s="33">
        <v>47</v>
      </c>
      <c r="G223" s="116">
        <v>79</v>
      </c>
      <c r="H223" s="116">
        <v>69</v>
      </c>
    </row>
    <row r="224" spans="2:8" ht="17.5" customHeight="1">
      <c r="B224" s="30" t="s">
        <v>444</v>
      </c>
      <c r="C224" s="117">
        <v>1</v>
      </c>
      <c r="D224" s="117">
        <v>1</v>
      </c>
      <c r="E224" s="117">
        <v>1</v>
      </c>
      <c r="F224" s="117">
        <v>1</v>
      </c>
      <c r="G224" s="117">
        <v>1</v>
      </c>
      <c r="H224" s="117">
        <v>1</v>
      </c>
    </row>
    <row r="225" spans="2:8" ht="17.5" customHeight="1">
      <c r="B225" s="114" t="s">
        <v>434</v>
      </c>
      <c r="C225" s="110">
        <v>0.29399999999999998</v>
      </c>
      <c r="D225" s="110">
        <v>0.31</v>
      </c>
      <c r="E225" s="110">
        <v>0.314</v>
      </c>
      <c r="F225" s="110">
        <v>0.374</v>
      </c>
      <c r="G225" s="118">
        <v>0.36599999999999999</v>
      </c>
      <c r="H225" s="118">
        <v>0.37</v>
      </c>
    </row>
    <row r="226" spans="2:8" ht="17.5" customHeight="1">
      <c r="B226" s="114" t="s">
        <v>435</v>
      </c>
      <c r="C226" s="110">
        <v>0.40300000000000002</v>
      </c>
      <c r="D226" s="110">
        <v>0.42799999999999999</v>
      </c>
      <c r="E226" s="110">
        <v>0.42499999999999999</v>
      </c>
      <c r="F226" s="110">
        <v>0.38900000000000001</v>
      </c>
      <c r="G226" s="118">
        <v>0.38100000000000001</v>
      </c>
      <c r="H226" s="118">
        <v>0.376</v>
      </c>
    </row>
    <row r="227" spans="2:8" ht="17.5" customHeight="1">
      <c r="B227" s="114" t="s">
        <v>436</v>
      </c>
      <c r="C227" s="110">
        <v>0.184</v>
      </c>
      <c r="D227" s="110">
        <v>0.184</v>
      </c>
      <c r="E227" s="110">
        <v>0.183</v>
      </c>
      <c r="F227" s="110">
        <v>0.17100000000000001</v>
      </c>
      <c r="G227" s="118">
        <v>0.16200000000000001</v>
      </c>
      <c r="H227" s="118">
        <v>0.16800000000000001</v>
      </c>
    </row>
    <row r="228" spans="2:8" ht="17.5" customHeight="1">
      <c r="B228" s="114" t="s">
        <v>445</v>
      </c>
      <c r="C228" s="110">
        <v>1.2999999999999999E-2</v>
      </c>
      <c r="D228" s="110">
        <v>1.0999999999999999E-2</v>
      </c>
      <c r="E228" s="110">
        <v>1.2E-2</v>
      </c>
      <c r="F228" s="110">
        <v>1.4E-2</v>
      </c>
      <c r="G228" s="118">
        <v>1.2999999999999999E-2</v>
      </c>
      <c r="H228" s="118">
        <v>1.4E-2</v>
      </c>
    </row>
    <row r="229" spans="2:8" ht="17.5" customHeight="1">
      <c r="B229" s="114" t="s">
        <v>438</v>
      </c>
      <c r="C229" s="110">
        <v>0.01</v>
      </c>
      <c r="D229" s="110">
        <v>8.0000000000000002E-3</v>
      </c>
      <c r="E229" s="110">
        <v>8.0000000000000002E-3</v>
      </c>
      <c r="F229" s="110">
        <v>7.0000000000000001E-3</v>
      </c>
      <c r="G229" s="118">
        <v>8.9999999999999993E-3</v>
      </c>
      <c r="H229" s="118">
        <v>8.9999999999999993E-3</v>
      </c>
    </row>
    <row r="230" spans="2:8" ht="17.5" customHeight="1">
      <c r="B230" s="114" t="s">
        <v>439</v>
      </c>
      <c r="C230" s="110">
        <v>6.5000000000000002E-2</v>
      </c>
      <c r="D230" s="110">
        <v>3.2000000000000001E-2</v>
      </c>
      <c r="E230" s="110">
        <v>2.8000000000000001E-2</v>
      </c>
      <c r="F230" s="110">
        <v>1.9E-2</v>
      </c>
      <c r="G230" s="118">
        <v>2.9000000000000001E-2</v>
      </c>
      <c r="H230" s="118">
        <v>2.8000000000000001E-2</v>
      </c>
    </row>
    <row r="231" spans="2:8" ht="17.5" customHeight="1">
      <c r="B231" s="114" t="s">
        <v>440</v>
      </c>
      <c r="C231" s="110">
        <v>3.1E-2</v>
      </c>
      <c r="D231" s="110">
        <v>2.7E-2</v>
      </c>
      <c r="E231" s="110">
        <v>0.03</v>
      </c>
      <c r="F231" s="110">
        <v>2.5000000000000001E-2</v>
      </c>
      <c r="G231" s="118">
        <v>0.04</v>
      </c>
      <c r="H231" s="118">
        <v>3.5000000000000003E-2</v>
      </c>
    </row>
    <row r="232" spans="2:8" ht="17.5" customHeight="1">
      <c r="B232" s="21" t="s">
        <v>278</v>
      </c>
    </row>
    <row r="234" spans="2:8" ht="17.5" customHeight="1">
      <c r="B234" s="48" t="s">
        <v>21</v>
      </c>
      <c r="C234" s="17"/>
      <c r="D234" s="17"/>
      <c r="E234" s="17"/>
      <c r="F234" s="17"/>
      <c r="G234" s="17"/>
    </row>
    <row r="235" spans="2:8" ht="17.5" customHeight="1">
      <c r="B235" s="111" t="s">
        <v>442</v>
      </c>
      <c r="C235" s="112">
        <v>2017</v>
      </c>
      <c r="D235" s="112">
        <v>2018</v>
      </c>
      <c r="E235" s="112">
        <v>2019</v>
      </c>
      <c r="F235" s="115" t="s">
        <v>335</v>
      </c>
      <c r="G235" s="115" t="s">
        <v>256</v>
      </c>
      <c r="H235" s="115" t="s">
        <v>257</v>
      </c>
    </row>
    <row r="236" spans="2:8" ht="17.5" customHeight="1">
      <c r="B236" s="30" t="s">
        <v>336</v>
      </c>
      <c r="C236" s="119">
        <v>385</v>
      </c>
      <c r="D236" s="119">
        <v>350</v>
      </c>
      <c r="E236" s="119">
        <v>331</v>
      </c>
      <c r="F236" s="119">
        <v>344</v>
      </c>
      <c r="G236" s="119">
        <v>422</v>
      </c>
      <c r="H236" s="119">
        <v>470</v>
      </c>
    </row>
    <row r="237" spans="2:8" ht="17.5" customHeight="1">
      <c r="B237" s="113" t="s">
        <v>434</v>
      </c>
      <c r="C237" s="32">
        <v>94</v>
      </c>
      <c r="D237" s="33">
        <v>95</v>
      </c>
      <c r="E237" s="33">
        <v>91</v>
      </c>
      <c r="F237" s="33">
        <v>99</v>
      </c>
      <c r="G237" s="33">
        <v>152</v>
      </c>
      <c r="H237" s="33">
        <v>169</v>
      </c>
    </row>
    <row r="238" spans="2:8" ht="17.5" customHeight="1">
      <c r="B238" s="113" t="s">
        <v>435</v>
      </c>
      <c r="C238" s="32">
        <v>74</v>
      </c>
      <c r="D238" s="33">
        <v>65</v>
      </c>
      <c r="E238" s="33">
        <v>60</v>
      </c>
      <c r="F238" s="33">
        <v>68</v>
      </c>
      <c r="G238" s="33">
        <v>93</v>
      </c>
      <c r="H238" s="33">
        <v>103</v>
      </c>
    </row>
    <row r="239" spans="2:8" ht="17.5" customHeight="1">
      <c r="B239" s="113" t="s">
        <v>436</v>
      </c>
      <c r="C239" s="32">
        <v>57</v>
      </c>
      <c r="D239" s="33">
        <v>64</v>
      </c>
      <c r="E239" s="33">
        <v>50</v>
      </c>
      <c r="F239" s="33">
        <v>41</v>
      </c>
      <c r="G239" s="33">
        <v>54</v>
      </c>
      <c r="H239" s="33">
        <v>63</v>
      </c>
    </row>
    <row r="240" spans="2:8" ht="17.5" customHeight="1">
      <c r="B240" s="113" t="s">
        <v>443</v>
      </c>
      <c r="C240" s="32">
        <v>3</v>
      </c>
      <c r="D240" s="33">
        <v>3</v>
      </c>
      <c r="E240" s="33">
        <v>5</v>
      </c>
      <c r="F240" s="33">
        <v>3</v>
      </c>
      <c r="G240" s="33">
        <v>5</v>
      </c>
      <c r="H240" s="33">
        <v>6</v>
      </c>
    </row>
    <row r="241" spans="2:8" ht="17.5" customHeight="1">
      <c r="B241" s="113" t="s">
        <v>438</v>
      </c>
      <c r="C241" s="32">
        <v>6</v>
      </c>
      <c r="D241" s="33">
        <v>6</v>
      </c>
      <c r="E241" s="33">
        <v>5</v>
      </c>
      <c r="F241" s="33">
        <v>6</v>
      </c>
      <c r="G241" s="33">
        <v>4</v>
      </c>
      <c r="H241" s="33">
        <v>6</v>
      </c>
    </row>
    <row r="242" spans="2:8" ht="17.5" customHeight="1">
      <c r="B242" s="113" t="s">
        <v>439</v>
      </c>
      <c r="C242" s="32">
        <v>62</v>
      </c>
      <c r="D242" s="33">
        <v>58</v>
      </c>
      <c r="E242" s="33">
        <v>66</v>
      </c>
      <c r="F242" s="33">
        <v>54</v>
      </c>
      <c r="G242" s="33">
        <v>52</v>
      </c>
      <c r="H242" s="33">
        <v>48</v>
      </c>
    </row>
    <row r="243" spans="2:8" ht="17.5" customHeight="1">
      <c r="B243" s="113" t="s">
        <v>440</v>
      </c>
      <c r="C243" s="32">
        <v>89</v>
      </c>
      <c r="D243" s="33">
        <v>59</v>
      </c>
      <c r="E243" s="33">
        <v>54</v>
      </c>
      <c r="F243" s="33">
        <v>73</v>
      </c>
      <c r="G243" s="33">
        <v>62</v>
      </c>
      <c r="H243" s="33">
        <v>75</v>
      </c>
    </row>
    <row r="244" spans="2:8" ht="17.5" customHeight="1">
      <c r="B244" s="30" t="s">
        <v>444</v>
      </c>
      <c r="C244" s="117">
        <v>1</v>
      </c>
      <c r="D244" s="117">
        <v>1</v>
      </c>
      <c r="E244" s="117">
        <v>1</v>
      </c>
      <c r="F244" s="117">
        <v>1</v>
      </c>
      <c r="G244" s="117">
        <v>1</v>
      </c>
      <c r="H244" s="117">
        <v>1</v>
      </c>
    </row>
    <row r="245" spans="2:8" ht="17.5" customHeight="1">
      <c r="B245" s="114" t="s">
        <v>434</v>
      </c>
      <c r="C245" s="110">
        <v>0.24399999999999999</v>
      </c>
      <c r="D245" s="110">
        <v>0.27100000000000002</v>
      </c>
      <c r="E245" s="110">
        <v>0.27500000000000002</v>
      </c>
      <c r="F245" s="110">
        <v>0.28799999999999998</v>
      </c>
      <c r="G245" s="110">
        <v>0.36</v>
      </c>
      <c r="H245" s="110">
        <v>0.36</v>
      </c>
    </row>
    <row r="246" spans="2:8" ht="17.5" customHeight="1">
      <c r="B246" s="114" t="s">
        <v>435</v>
      </c>
      <c r="C246" s="110">
        <v>0.192</v>
      </c>
      <c r="D246" s="110">
        <v>0.186</v>
      </c>
      <c r="E246" s="110">
        <v>0.18099999999999999</v>
      </c>
      <c r="F246" s="110">
        <v>0.19800000000000001</v>
      </c>
      <c r="G246" s="110">
        <v>0.22</v>
      </c>
      <c r="H246" s="110">
        <v>0.219</v>
      </c>
    </row>
    <row r="247" spans="2:8" ht="17.5" customHeight="1">
      <c r="B247" s="114" t="s">
        <v>436</v>
      </c>
      <c r="C247" s="110">
        <v>0.14799999999999999</v>
      </c>
      <c r="D247" s="110">
        <v>0.183</v>
      </c>
      <c r="E247" s="110">
        <v>0.151</v>
      </c>
      <c r="F247" s="110">
        <v>0.11899999999999999</v>
      </c>
      <c r="G247" s="110">
        <v>0.128</v>
      </c>
      <c r="H247" s="110">
        <v>0.13400000000000001</v>
      </c>
    </row>
    <row r="248" spans="2:8" ht="17.5" customHeight="1">
      <c r="B248" s="114" t="s">
        <v>445</v>
      </c>
      <c r="C248" s="110">
        <v>8.0000000000000002E-3</v>
      </c>
      <c r="D248" s="110">
        <v>8.9999999999999993E-3</v>
      </c>
      <c r="E248" s="110">
        <v>1.4999999999999999E-2</v>
      </c>
      <c r="F248" s="110">
        <v>8.9999999999999993E-3</v>
      </c>
      <c r="G248" s="110">
        <v>1.2E-2</v>
      </c>
      <c r="H248" s="110">
        <v>1.2999999999999999E-2</v>
      </c>
    </row>
    <row r="249" spans="2:8" ht="17.5" customHeight="1">
      <c r="B249" s="114" t="s">
        <v>438</v>
      </c>
      <c r="C249" s="110">
        <v>1.6E-2</v>
      </c>
      <c r="D249" s="110">
        <v>1.7000000000000001E-2</v>
      </c>
      <c r="E249" s="110">
        <v>1.4999999999999999E-2</v>
      </c>
      <c r="F249" s="110">
        <v>1.7000000000000001E-2</v>
      </c>
      <c r="G249" s="110">
        <v>8.9999999999999993E-3</v>
      </c>
      <c r="H249" s="110">
        <v>1.2999999999999999E-2</v>
      </c>
    </row>
    <row r="250" spans="2:8" ht="17.5" customHeight="1">
      <c r="B250" s="114" t="s">
        <v>439</v>
      </c>
      <c r="C250" s="110">
        <v>0.161</v>
      </c>
      <c r="D250" s="110">
        <v>0.16600000000000001</v>
      </c>
      <c r="E250" s="110">
        <v>0.19900000000000001</v>
      </c>
      <c r="F250" s="110">
        <v>0.157</v>
      </c>
      <c r="G250" s="110">
        <v>0.123</v>
      </c>
      <c r="H250" s="110">
        <v>0.10199999999999999</v>
      </c>
    </row>
    <row r="251" spans="2:8" ht="17.5" customHeight="1">
      <c r="B251" s="114" t="s">
        <v>440</v>
      </c>
      <c r="C251" s="110">
        <v>0.23100000000000001</v>
      </c>
      <c r="D251" s="110">
        <v>0.16900000000000001</v>
      </c>
      <c r="E251" s="110">
        <v>0.16300000000000001</v>
      </c>
      <c r="F251" s="110">
        <v>0.21199999999999999</v>
      </c>
      <c r="G251" s="110">
        <v>0.14699999999999999</v>
      </c>
      <c r="H251" s="110">
        <v>0.16</v>
      </c>
    </row>
    <row r="252" spans="2:8" ht="17.5" customHeight="1">
      <c r="B252" s="81" t="s">
        <v>265</v>
      </c>
      <c r="C252" s="17"/>
      <c r="D252" s="17"/>
      <c r="E252" s="17"/>
      <c r="F252" s="17"/>
      <c r="G252" s="17"/>
    </row>
    <row r="254" spans="2:8" ht="17.5" customHeight="1">
      <c r="B254" s="48" t="s">
        <v>22</v>
      </c>
      <c r="C254" s="17"/>
      <c r="D254" s="17"/>
      <c r="E254" s="17"/>
      <c r="F254" s="17"/>
      <c r="G254" s="17"/>
    </row>
    <row r="255" spans="2:8" ht="17.5" customHeight="1">
      <c r="B255" s="120" t="s">
        <v>376</v>
      </c>
      <c r="C255" s="115">
        <v>2017</v>
      </c>
      <c r="D255" s="115">
        <v>2018</v>
      </c>
      <c r="E255" s="115">
        <v>2019</v>
      </c>
      <c r="F255" s="115" t="s">
        <v>335</v>
      </c>
      <c r="G255" s="115" t="s">
        <v>256</v>
      </c>
      <c r="H255" s="115" t="s">
        <v>257</v>
      </c>
    </row>
    <row r="256" spans="2:8" ht="17.5" customHeight="1">
      <c r="B256" s="30" t="s">
        <v>446</v>
      </c>
      <c r="C256" s="31">
        <v>5160</v>
      </c>
      <c r="D256" s="31">
        <v>4991</v>
      </c>
      <c r="E256" s="31">
        <v>5194</v>
      </c>
      <c r="F256" s="31">
        <v>4953</v>
      </c>
      <c r="G256" s="31">
        <v>5076</v>
      </c>
      <c r="H256" s="31">
        <v>5003</v>
      </c>
    </row>
    <row r="257" spans="2:8" ht="17.5" customHeight="1">
      <c r="B257" s="64" t="s">
        <v>447</v>
      </c>
      <c r="C257" s="65">
        <v>2745</v>
      </c>
      <c r="D257" s="65">
        <v>2899</v>
      </c>
      <c r="E257" s="65">
        <v>2949</v>
      </c>
      <c r="F257" s="65">
        <v>2682</v>
      </c>
      <c r="G257" s="65">
        <v>2493</v>
      </c>
      <c r="H257" s="65">
        <v>2597</v>
      </c>
    </row>
    <row r="258" spans="2:8" ht="17.5" customHeight="1">
      <c r="B258" s="121" t="s">
        <v>434</v>
      </c>
      <c r="C258" s="65">
        <v>2129</v>
      </c>
      <c r="D258" s="65">
        <v>1947</v>
      </c>
      <c r="E258" s="65">
        <v>1959</v>
      </c>
      <c r="F258" s="65">
        <v>2086</v>
      </c>
      <c r="G258" s="65">
        <v>2406</v>
      </c>
      <c r="H258" s="65">
        <v>2288</v>
      </c>
    </row>
    <row r="259" spans="2:8" ht="17.5" customHeight="1">
      <c r="B259" s="121" t="s">
        <v>448</v>
      </c>
      <c r="C259" s="33">
        <v>286</v>
      </c>
      <c r="D259" s="33">
        <v>145</v>
      </c>
      <c r="E259" s="33">
        <v>286</v>
      </c>
      <c r="F259" s="33">
        <v>185</v>
      </c>
      <c r="G259" s="33">
        <v>177</v>
      </c>
      <c r="H259" s="33">
        <v>118</v>
      </c>
    </row>
    <row r="260" spans="2:8" ht="17.5" customHeight="1">
      <c r="B260" s="122" t="s">
        <v>430</v>
      </c>
      <c r="C260" s="123">
        <v>1</v>
      </c>
      <c r="D260" s="123">
        <v>1</v>
      </c>
      <c r="E260" s="123">
        <v>1</v>
      </c>
      <c r="F260" s="123">
        <v>1</v>
      </c>
      <c r="G260" s="123">
        <v>1</v>
      </c>
      <c r="H260" s="123">
        <v>1</v>
      </c>
    </row>
    <row r="261" spans="2:8" ht="17.5" customHeight="1">
      <c r="B261" s="68" t="s">
        <v>447</v>
      </c>
      <c r="C261" s="125">
        <v>0.53200000000000003</v>
      </c>
      <c r="D261" s="125">
        <v>0.58099999999999996</v>
      </c>
      <c r="E261" s="125">
        <v>0.56799999999999995</v>
      </c>
      <c r="F261" s="125">
        <v>0.54100000000000004</v>
      </c>
      <c r="G261" s="125">
        <v>0.49099999999999999</v>
      </c>
      <c r="H261" s="125">
        <v>0.51908854687187689</v>
      </c>
    </row>
    <row r="262" spans="2:8" ht="17.5" customHeight="1">
      <c r="B262" s="124" t="s">
        <v>434</v>
      </c>
      <c r="C262" s="125">
        <v>0.41299999999999998</v>
      </c>
      <c r="D262" s="125">
        <v>0.39</v>
      </c>
      <c r="E262" s="125">
        <v>0.377</v>
      </c>
      <c r="F262" s="125">
        <v>0.42099999999999999</v>
      </c>
      <c r="G262" s="125">
        <v>0.47399999999999998</v>
      </c>
      <c r="H262" s="125">
        <v>0.45732560463721766</v>
      </c>
    </row>
    <row r="263" spans="2:8" ht="17.5" customHeight="1">
      <c r="B263" s="124" t="s">
        <v>448</v>
      </c>
      <c r="C263" s="125">
        <v>5.5E-2</v>
      </c>
      <c r="D263" s="125">
        <v>2.9000000000000001E-2</v>
      </c>
      <c r="E263" s="125">
        <v>5.5E-2</v>
      </c>
      <c r="F263" s="125">
        <v>3.6999999999999998E-2</v>
      </c>
      <c r="G263" s="125">
        <v>3.5000000000000003E-2</v>
      </c>
      <c r="H263" s="125">
        <v>2.3585848490905458E-2</v>
      </c>
    </row>
    <row r="264" spans="2:8" ht="17.5" customHeight="1">
      <c r="B264" s="81" t="s">
        <v>265</v>
      </c>
      <c r="C264" s="17"/>
      <c r="D264" s="17"/>
      <c r="E264" s="17"/>
      <c r="F264" s="17"/>
      <c r="G264" s="17"/>
    </row>
    <row r="265" spans="2:8" ht="17.5" customHeight="1">
      <c r="B265" s="81"/>
      <c r="C265" s="17"/>
      <c r="D265" s="17"/>
      <c r="E265" s="17"/>
      <c r="F265" s="17"/>
      <c r="G265" s="17"/>
    </row>
    <row r="266" spans="2:8" ht="17.5" customHeight="1">
      <c r="B266" s="335" t="s">
        <v>449</v>
      </c>
      <c r="C266" s="445"/>
      <c r="D266" s="17"/>
      <c r="E266" s="17"/>
      <c r="F266" s="17"/>
      <c r="G266" s="17"/>
    </row>
    <row r="267" spans="2:8" ht="17.5" customHeight="1">
      <c r="B267" s="433" t="s">
        <v>450</v>
      </c>
      <c r="C267" s="434" t="s">
        <v>451</v>
      </c>
      <c r="D267" s="17"/>
      <c r="E267" s="17"/>
      <c r="F267" s="17"/>
      <c r="G267" s="17"/>
    </row>
    <row r="268" spans="2:8" ht="17.5" customHeight="1">
      <c r="B268" s="818" t="s">
        <v>452</v>
      </c>
      <c r="C268" s="819"/>
      <c r="D268" s="17"/>
      <c r="E268" s="17"/>
      <c r="F268" s="17"/>
      <c r="G268" s="17"/>
    </row>
    <row r="269" spans="2:8" ht="17.5" customHeight="1">
      <c r="B269" s="375" t="s">
        <v>453</v>
      </c>
      <c r="C269" s="584">
        <v>800</v>
      </c>
      <c r="D269" s="17"/>
      <c r="E269" s="17"/>
      <c r="F269" s="17"/>
      <c r="G269" s="17"/>
    </row>
    <row r="270" spans="2:8" ht="17.5" customHeight="1">
      <c r="B270" s="357" t="s">
        <v>454</v>
      </c>
      <c r="C270" s="585">
        <v>1304</v>
      </c>
      <c r="D270" s="17"/>
      <c r="E270" s="17"/>
      <c r="F270" s="17"/>
      <c r="G270" s="17"/>
    </row>
    <row r="271" spans="2:8" ht="17.5" customHeight="1">
      <c r="B271" s="357" t="s">
        <v>455</v>
      </c>
      <c r="C271" s="585">
        <v>1499</v>
      </c>
      <c r="D271" s="17"/>
      <c r="E271" s="17"/>
      <c r="F271" s="17"/>
      <c r="G271" s="17"/>
    </row>
    <row r="272" spans="2:8" ht="17.5" customHeight="1">
      <c r="B272" s="357" t="s">
        <v>456</v>
      </c>
      <c r="C272" s="585">
        <v>1038</v>
      </c>
      <c r="D272" s="17"/>
      <c r="E272" s="17"/>
      <c r="F272" s="17"/>
      <c r="G272" s="17"/>
    </row>
    <row r="273" spans="2:8" ht="17.5" customHeight="1">
      <c r="B273" s="435" t="s">
        <v>457</v>
      </c>
      <c r="C273" s="586">
        <v>245</v>
      </c>
      <c r="D273" s="17"/>
      <c r="E273" s="17"/>
      <c r="F273" s="17"/>
      <c r="G273" s="17"/>
    </row>
    <row r="274" spans="2:8" ht="17.5" customHeight="1">
      <c r="B274" s="818" t="s">
        <v>458</v>
      </c>
      <c r="C274" s="819"/>
      <c r="D274" s="17"/>
      <c r="E274" s="17"/>
      <c r="F274" s="17"/>
      <c r="G274" s="17"/>
    </row>
    <row r="275" spans="2:8" ht="17.5" customHeight="1">
      <c r="B275" s="436" t="s">
        <v>459</v>
      </c>
      <c r="C275" s="587">
        <v>0.19700000000000001</v>
      </c>
      <c r="D275" s="17"/>
      <c r="E275" s="17"/>
      <c r="F275" s="17"/>
      <c r="G275" s="17"/>
    </row>
    <row r="276" spans="2:8" ht="17.5" customHeight="1">
      <c r="B276" s="437" t="s">
        <v>460</v>
      </c>
      <c r="C276" s="99">
        <v>0.33200000000000002</v>
      </c>
      <c r="D276" s="17"/>
      <c r="E276" s="17"/>
      <c r="F276" s="17"/>
      <c r="G276" s="17"/>
    </row>
    <row r="277" spans="2:8" ht="17.5" customHeight="1">
      <c r="B277" s="437" t="s">
        <v>461</v>
      </c>
      <c r="C277" s="99">
        <v>0.79</v>
      </c>
      <c r="D277" s="17"/>
      <c r="E277" s="17"/>
      <c r="F277" s="17"/>
      <c r="G277" s="17"/>
    </row>
    <row r="278" spans="2:8" ht="17.5" customHeight="1">
      <c r="B278" s="437" t="s">
        <v>462</v>
      </c>
      <c r="C278" s="99">
        <v>0.97599999999999998</v>
      </c>
      <c r="D278" s="17"/>
      <c r="E278" s="17"/>
      <c r="F278" s="17"/>
      <c r="G278" s="17"/>
    </row>
    <row r="279" spans="2:8" ht="17.5" customHeight="1">
      <c r="B279" s="438" t="s">
        <v>463</v>
      </c>
      <c r="C279" s="99">
        <v>0.52100000000000002</v>
      </c>
    </row>
    <row r="280" spans="2:8" ht="17.5" customHeight="1">
      <c r="B280" s="81" t="s">
        <v>265</v>
      </c>
      <c r="C280" s="432"/>
    </row>
    <row r="281" spans="2:8" ht="17.5" customHeight="1">
      <c r="B281" s="81" t="s">
        <v>704</v>
      </c>
      <c r="C281" s="432"/>
    </row>
    <row r="282" spans="2:8" ht="17.5" customHeight="1">
      <c r="B282" s="6" t="s">
        <v>1658</v>
      </c>
      <c r="C282" s="432"/>
      <c r="D282" s="28" t="s">
        <v>704</v>
      </c>
    </row>
    <row r="283" spans="2:8" ht="17.5" customHeight="1">
      <c r="B283" s="472" t="s">
        <v>464</v>
      </c>
      <c r="C283" s="549">
        <v>2017</v>
      </c>
      <c r="D283" s="549">
        <v>2018</v>
      </c>
      <c r="E283" s="549">
        <v>2019</v>
      </c>
      <c r="F283" s="549" t="s">
        <v>335</v>
      </c>
      <c r="G283" s="549" t="s">
        <v>256</v>
      </c>
      <c r="H283" s="550" t="s">
        <v>468</v>
      </c>
    </row>
    <row r="284" spans="2:8" ht="17.5" customHeight="1">
      <c r="B284" s="492" t="s">
        <v>469</v>
      </c>
      <c r="C284" s="588">
        <v>2497</v>
      </c>
      <c r="D284" s="588">
        <v>2622</v>
      </c>
      <c r="E284" s="588">
        <v>2753</v>
      </c>
      <c r="F284" s="588">
        <v>2998</v>
      </c>
      <c r="G284" s="588">
        <v>3035</v>
      </c>
      <c r="H284" s="588">
        <v>3406</v>
      </c>
    </row>
    <row r="285" spans="2:8" ht="17.5" customHeight="1">
      <c r="B285" s="475" t="s">
        <v>325</v>
      </c>
      <c r="C285" s="65">
        <v>1576</v>
      </c>
      <c r="D285" s="65">
        <v>1664</v>
      </c>
      <c r="E285" s="65">
        <v>1691</v>
      </c>
      <c r="F285" s="65">
        <v>2046</v>
      </c>
      <c r="G285" s="65">
        <v>2189</v>
      </c>
      <c r="H285" s="65">
        <v>1260</v>
      </c>
    </row>
    <row r="286" spans="2:8" ht="17.5" customHeight="1">
      <c r="B286" s="475" t="s">
        <v>470</v>
      </c>
      <c r="C286" s="33">
        <v>1197</v>
      </c>
      <c r="D286" s="33">
        <v>1126</v>
      </c>
      <c r="E286" s="33">
        <v>1189</v>
      </c>
      <c r="F286" s="33">
        <v>1505</v>
      </c>
      <c r="G286" s="33">
        <v>1594</v>
      </c>
      <c r="H286" s="33">
        <v>838</v>
      </c>
    </row>
    <row r="287" spans="2:8" ht="17.5" customHeight="1">
      <c r="B287" s="475" t="s">
        <v>471</v>
      </c>
      <c r="C287" s="33">
        <v>92</v>
      </c>
      <c r="D287" s="33">
        <v>195</v>
      </c>
      <c r="E287" s="33">
        <v>220</v>
      </c>
      <c r="F287" s="33">
        <v>262</v>
      </c>
      <c r="G287" s="33">
        <v>342</v>
      </c>
      <c r="H287" s="33">
        <v>206</v>
      </c>
    </row>
    <row r="288" spans="2:8" ht="17.5" customHeight="1">
      <c r="B288" s="492" t="s">
        <v>473</v>
      </c>
      <c r="C288" s="588">
        <v>2222</v>
      </c>
      <c r="D288" s="588">
        <v>1949</v>
      </c>
      <c r="E288" s="588">
        <v>1953</v>
      </c>
      <c r="F288" s="588">
        <v>2146</v>
      </c>
      <c r="G288" s="588">
        <v>1807</v>
      </c>
      <c r="H288" s="588">
        <v>1517</v>
      </c>
    </row>
    <row r="289" spans="2:8" ht="17.5" customHeight="1">
      <c r="B289" s="475" t="s">
        <v>325</v>
      </c>
      <c r="C289" s="65">
        <v>1301</v>
      </c>
      <c r="D289" s="65">
        <v>1245</v>
      </c>
      <c r="E289" s="65">
        <v>1270</v>
      </c>
      <c r="F289" s="65">
        <v>1645</v>
      </c>
      <c r="G289" s="65">
        <v>1642</v>
      </c>
      <c r="H289" s="65">
        <v>2672</v>
      </c>
    </row>
    <row r="290" spans="2:8" ht="17.5" customHeight="1">
      <c r="B290" s="475" t="s">
        <v>470</v>
      </c>
      <c r="C290" s="65">
        <v>370</v>
      </c>
      <c r="D290" s="65">
        <v>290</v>
      </c>
      <c r="E290" s="65">
        <v>263</v>
      </c>
      <c r="F290" s="65">
        <v>364</v>
      </c>
      <c r="G290" s="65">
        <v>361</v>
      </c>
      <c r="H290" s="65">
        <v>1139</v>
      </c>
    </row>
    <row r="291" spans="2:8" ht="17.5" customHeight="1">
      <c r="B291" s="475" t="s">
        <v>471</v>
      </c>
      <c r="C291" s="33">
        <v>293</v>
      </c>
      <c r="D291" s="33">
        <v>155</v>
      </c>
      <c r="E291" s="33">
        <v>111</v>
      </c>
      <c r="F291" s="33">
        <v>82</v>
      </c>
      <c r="G291" s="33">
        <v>80</v>
      </c>
      <c r="H291" s="33">
        <v>264</v>
      </c>
    </row>
    <row r="292" spans="2:8" ht="17.5" customHeight="1">
      <c r="B292" s="492" t="s">
        <v>474</v>
      </c>
      <c r="C292" s="589">
        <v>0.52900000000000003</v>
      </c>
      <c r="D292" s="589">
        <v>0.57399999999999995</v>
      </c>
      <c r="E292" s="589">
        <v>0.58499999999999996</v>
      </c>
      <c r="F292" s="589">
        <v>0.58299999999999996</v>
      </c>
      <c r="G292" s="589">
        <v>0.627</v>
      </c>
      <c r="H292" s="589">
        <v>0.69099999999999995</v>
      </c>
    </row>
    <row r="293" spans="2:8" ht="17.5" customHeight="1">
      <c r="B293" s="475" t="s">
        <v>325</v>
      </c>
      <c r="C293" s="590">
        <v>0.54800000000000004</v>
      </c>
      <c r="D293" s="590">
        <v>0.57199999999999995</v>
      </c>
      <c r="E293" s="590">
        <v>0.57099999999999995</v>
      </c>
      <c r="F293" s="590">
        <v>0.55400000000000005</v>
      </c>
      <c r="G293" s="590">
        <v>0.57099999999999995</v>
      </c>
      <c r="H293" s="590">
        <v>0.32</v>
      </c>
    </row>
    <row r="294" spans="2:8" ht="17.5" customHeight="1">
      <c r="B294" s="475" t="s">
        <v>470</v>
      </c>
      <c r="C294" s="590">
        <v>0.76400000000000001</v>
      </c>
      <c r="D294" s="590">
        <v>0.79500000000000004</v>
      </c>
      <c r="E294" s="590">
        <v>0.81899999999999995</v>
      </c>
      <c r="F294" s="590">
        <v>0.80500000000000005</v>
      </c>
      <c r="G294" s="590">
        <v>0.81499999999999995</v>
      </c>
      <c r="H294" s="590">
        <v>0.42399999999999999</v>
      </c>
    </row>
    <row r="295" spans="2:8" ht="17.5" customHeight="1">
      <c r="B295" s="493" t="s">
        <v>471</v>
      </c>
      <c r="C295" s="591">
        <v>0.23899999999999999</v>
      </c>
      <c r="D295" s="591">
        <v>0.55700000000000005</v>
      </c>
      <c r="E295" s="591">
        <v>0.66500000000000004</v>
      </c>
      <c r="F295" s="591">
        <v>0.76200000000000001</v>
      </c>
      <c r="G295" s="591">
        <v>0.81</v>
      </c>
      <c r="H295" s="591">
        <v>0.438</v>
      </c>
    </row>
    <row r="296" spans="2:8" ht="17.5" customHeight="1">
      <c r="B296" s="81"/>
      <c r="C296" s="432"/>
    </row>
    <row r="298" spans="2:8" ht="17.5" customHeight="1">
      <c r="B298" s="49" t="s">
        <v>475</v>
      </c>
      <c r="C298" s="17"/>
      <c r="D298" s="17"/>
      <c r="E298" s="17"/>
      <c r="F298" s="17"/>
      <c r="G298" s="17"/>
    </row>
    <row r="299" spans="2:8" ht="17.5" customHeight="1">
      <c r="B299" s="126" t="s">
        <v>402</v>
      </c>
      <c r="C299" s="127">
        <v>2017</v>
      </c>
      <c r="D299" s="127">
        <v>2018</v>
      </c>
      <c r="E299" s="127">
        <v>2019</v>
      </c>
      <c r="F299" s="127" t="s">
        <v>335</v>
      </c>
      <c r="G299" s="127" t="s">
        <v>256</v>
      </c>
      <c r="H299" s="127" t="s">
        <v>257</v>
      </c>
    </row>
    <row r="300" spans="2:8" ht="17.5" customHeight="1">
      <c r="B300" s="104" t="s">
        <v>476</v>
      </c>
      <c r="C300" s="97">
        <v>54215</v>
      </c>
      <c r="D300" s="97">
        <v>56029</v>
      </c>
      <c r="E300" s="97">
        <v>59032</v>
      </c>
      <c r="F300" s="97">
        <v>76133</v>
      </c>
      <c r="G300" s="97">
        <v>77629</v>
      </c>
      <c r="H300" s="97">
        <v>84558</v>
      </c>
    </row>
    <row r="301" spans="2:8" ht="17.5" customHeight="1">
      <c r="B301" s="80" t="s">
        <v>477</v>
      </c>
      <c r="C301" s="35">
        <v>14957</v>
      </c>
      <c r="D301" s="35">
        <v>15659</v>
      </c>
      <c r="E301" s="35">
        <v>16515</v>
      </c>
      <c r="F301" s="35">
        <v>26171</v>
      </c>
      <c r="G301" s="128">
        <v>27027</v>
      </c>
      <c r="H301" s="128">
        <v>29485</v>
      </c>
    </row>
    <row r="302" spans="2:8" ht="17.5" customHeight="1">
      <c r="B302" s="80" t="s">
        <v>478</v>
      </c>
      <c r="C302" s="35">
        <v>31057</v>
      </c>
      <c r="D302" s="35">
        <v>31877</v>
      </c>
      <c r="E302" s="35">
        <v>33097</v>
      </c>
      <c r="F302" s="35">
        <v>39425</v>
      </c>
      <c r="G302" s="128">
        <v>39948</v>
      </c>
      <c r="H302" s="128">
        <v>42973</v>
      </c>
    </row>
    <row r="303" spans="2:8" ht="17.5" customHeight="1">
      <c r="B303" s="80" t="s">
        <v>479</v>
      </c>
      <c r="C303" s="35">
        <v>8201</v>
      </c>
      <c r="D303" s="35">
        <v>8734</v>
      </c>
      <c r="E303" s="35">
        <v>9420</v>
      </c>
      <c r="F303" s="35">
        <v>10537</v>
      </c>
      <c r="G303" s="128">
        <v>10654</v>
      </c>
      <c r="H303" s="128">
        <v>12100</v>
      </c>
    </row>
    <row r="304" spans="2:8" ht="17.5" customHeight="1">
      <c r="B304" s="129" t="s">
        <v>480</v>
      </c>
      <c r="C304" s="107">
        <v>62</v>
      </c>
      <c r="D304" s="107">
        <v>60</v>
      </c>
      <c r="E304" s="107">
        <v>60</v>
      </c>
      <c r="F304" s="107">
        <v>50</v>
      </c>
      <c r="G304" s="107">
        <v>50</v>
      </c>
      <c r="H304" s="107">
        <v>50</v>
      </c>
    </row>
    <row r="305" spans="2:8" ht="17.5" customHeight="1">
      <c r="B305" s="80" t="s">
        <v>477</v>
      </c>
      <c r="C305" s="33">
        <v>68</v>
      </c>
      <c r="D305" s="33">
        <v>66</v>
      </c>
      <c r="E305" s="33">
        <v>66</v>
      </c>
      <c r="F305" s="33">
        <v>54</v>
      </c>
      <c r="G305" s="116">
        <v>55</v>
      </c>
      <c r="H305" s="116">
        <v>55</v>
      </c>
    </row>
    <row r="306" spans="2:8" ht="17.5" customHeight="1">
      <c r="B306" s="80" t="s">
        <v>478</v>
      </c>
      <c r="C306" s="33">
        <v>67</v>
      </c>
      <c r="D306" s="33">
        <v>65</v>
      </c>
      <c r="E306" s="33">
        <v>64</v>
      </c>
      <c r="F306" s="33">
        <v>53</v>
      </c>
      <c r="G306" s="116">
        <v>53</v>
      </c>
      <c r="H306" s="116">
        <v>52</v>
      </c>
    </row>
    <row r="307" spans="2:8" ht="17.5" customHeight="1">
      <c r="B307" s="80" t="s">
        <v>479</v>
      </c>
      <c r="C307" s="33">
        <v>33</v>
      </c>
      <c r="D307" s="33">
        <v>31</v>
      </c>
      <c r="E307" s="33">
        <v>33</v>
      </c>
      <c r="F307" s="33">
        <v>30</v>
      </c>
      <c r="G307" s="116">
        <v>29</v>
      </c>
      <c r="H307" s="116">
        <v>28</v>
      </c>
    </row>
    <row r="308" spans="2:8" ht="17.5" customHeight="1">
      <c r="B308" s="81" t="s">
        <v>265</v>
      </c>
      <c r="C308" s="17"/>
      <c r="D308" s="17"/>
      <c r="E308" s="17"/>
      <c r="F308" s="17"/>
      <c r="G308" s="17"/>
    </row>
    <row r="310" spans="2:8" ht="17.5" customHeight="1">
      <c r="B310" s="49" t="s">
        <v>481</v>
      </c>
      <c r="C310" s="17"/>
      <c r="D310" s="17"/>
      <c r="E310" s="17"/>
      <c r="F310" s="17"/>
      <c r="G310" s="17"/>
    </row>
    <row r="311" spans="2:8" ht="17.5" customHeight="1">
      <c r="B311" s="130" t="s">
        <v>402</v>
      </c>
      <c r="C311" s="131">
        <v>2017</v>
      </c>
      <c r="D311" s="131">
        <v>2018</v>
      </c>
      <c r="E311" s="131">
        <v>2019</v>
      </c>
      <c r="F311" s="131" t="s">
        <v>335</v>
      </c>
      <c r="G311" s="131" t="s">
        <v>256</v>
      </c>
      <c r="H311" s="131" t="s">
        <v>257</v>
      </c>
    </row>
    <row r="312" spans="2:8" ht="17.5" customHeight="1">
      <c r="B312" s="96" t="s">
        <v>476</v>
      </c>
      <c r="C312" s="97">
        <v>5207</v>
      </c>
      <c r="D312" s="97">
        <v>5509</v>
      </c>
      <c r="E312" s="97">
        <v>5879</v>
      </c>
      <c r="F312" s="97">
        <v>7414</v>
      </c>
      <c r="G312" s="97">
        <v>8358</v>
      </c>
      <c r="H312" s="524">
        <v>10726</v>
      </c>
    </row>
    <row r="313" spans="2:8" ht="17.5" customHeight="1">
      <c r="B313" s="76" t="s">
        <v>477</v>
      </c>
      <c r="C313" s="32">
        <v>615</v>
      </c>
      <c r="D313" s="32">
        <v>608</v>
      </c>
      <c r="E313" s="32">
        <v>674</v>
      </c>
      <c r="F313" s="35">
        <v>1711</v>
      </c>
      <c r="G313" s="128">
        <v>2091</v>
      </c>
      <c r="H313" s="128">
        <v>2910</v>
      </c>
    </row>
    <row r="314" spans="2:8" ht="17.5" customHeight="1">
      <c r="B314" s="76" t="s">
        <v>478</v>
      </c>
      <c r="C314" s="35">
        <v>1896</v>
      </c>
      <c r="D314" s="35">
        <v>2234</v>
      </c>
      <c r="E314" s="35">
        <v>2050</v>
      </c>
      <c r="F314" s="35">
        <v>2467</v>
      </c>
      <c r="G314" s="128">
        <v>3182</v>
      </c>
      <c r="H314" s="128">
        <v>4376</v>
      </c>
    </row>
    <row r="315" spans="2:8" ht="17.5" customHeight="1">
      <c r="B315" s="76" t="s">
        <v>479</v>
      </c>
      <c r="C315" s="35">
        <v>2696</v>
      </c>
      <c r="D315" s="35">
        <v>2667</v>
      </c>
      <c r="E315" s="35">
        <v>3155</v>
      </c>
      <c r="F315" s="35">
        <v>3236</v>
      </c>
      <c r="G315" s="128">
        <v>3085</v>
      </c>
      <c r="H315" s="128">
        <v>3440</v>
      </c>
    </row>
    <row r="316" spans="2:8" ht="17.5" customHeight="1">
      <c r="B316" s="96" t="s">
        <v>482</v>
      </c>
      <c r="C316" s="107">
        <v>42</v>
      </c>
      <c r="D316" s="107">
        <v>41</v>
      </c>
      <c r="E316" s="107">
        <v>48</v>
      </c>
      <c r="F316" s="107">
        <v>40</v>
      </c>
      <c r="G316" s="107">
        <v>41</v>
      </c>
      <c r="H316" s="107">
        <v>50</v>
      </c>
    </row>
    <row r="317" spans="2:8" ht="17.5" customHeight="1">
      <c r="B317" s="76" t="s">
        <v>477</v>
      </c>
      <c r="C317" s="32">
        <v>52</v>
      </c>
      <c r="D317" s="32">
        <v>53</v>
      </c>
      <c r="E317" s="32">
        <v>62</v>
      </c>
      <c r="F317" s="32">
        <v>46</v>
      </c>
      <c r="G317" s="132">
        <v>50</v>
      </c>
      <c r="H317" s="132">
        <v>64</v>
      </c>
    </row>
    <row r="318" spans="2:8" ht="17.5" customHeight="1">
      <c r="B318" s="76" t="s">
        <v>478</v>
      </c>
      <c r="C318" s="32">
        <v>51</v>
      </c>
      <c r="D318" s="32">
        <v>49</v>
      </c>
      <c r="E318" s="32">
        <v>61</v>
      </c>
      <c r="F318" s="32">
        <v>50</v>
      </c>
      <c r="G318" s="132">
        <v>48</v>
      </c>
      <c r="H318" s="132">
        <v>61</v>
      </c>
    </row>
    <row r="319" spans="2:8" ht="17.5" customHeight="1">
      <c r="B319" s="76" t="s">
        <v>479</v>
      </c>
      <c r="C319" s="32">
        <v>34</v>
      </c>
      <c r="D319" s="32">
        <v>32</v>
      </c>
      <c r="E319" s="32">
        <v>36</v>
      </c>
      <c r="F319" s="32">
        <v>29</v>
      </c>
      <c r="G319" s="132">
        <v>26</v>
      </c>
      <c r="H319" s="132">
        <v>14</v>
      </c>
    </row>
    <row r="320" spans="2:8" ht="17.5" customHeight="1">
      <c r="B320" s="81" t="s">
        <v>483</v>
      </c>
      <c r="C320" s="17"/>
      <c r="D320" s="17"/>
      <c r="E320" s="17"/>
      <c r="F320" s="17"/>
      <c r="G320" s="17"/>
    </row>
    <row r="322" spans="2:8" ht="17.5" customHeight="1">
      <c r="B322" s="49" t="s">
        <v>484</v>
      </c>
      <c r="C322" s="17"/>
      <c r="D322" s="17"/>
      <c r="E322" s="17"/>
      <c r="F322" s="17"/>
      <c r="G322" s="17"/>
    </row>
    <row r="323" spans="2:8" ht="17.5" customHeight="1">
      <c r="B323" s="111" t="s">
        <v>408</v>
      </c>
      <c r="C323" s="111">
        <v>2017</v>
      </c>
      <c r="D323" s="111">
        <v>2018</v>
      </c>
      <c r="E323" s="111">
        <v>2019</v>
      </c>
      <c r="F323" s="111" t="s">
        <v>335</v>
      </c>
      <c r="G323" s="111" t="s">
        <v>256</v>
      </c>
      <c r="H323" s="111" t="s">
        <v>257</v>
      </c>
    </row>
    <row r="324" spans="2:8" ht="17.5" customHeight="1">
      <c r="B324" s="96" t="s">
        <v>476</v>
      </c>
      <c r="C324" s="97">
        <v>31927</v>
      </c>
      <c r="D324" s="97">
        <v>32548</v>
      </c>
      <c r="E324" s="97">
        <v>34468</v>
      </c>
      <c r="F324" s="97">
        <v>46604</v>
      </c>
      <c r="G324" s="97">
        <v>46010</v>
      </c>
      <c r="H324" s="97">
        <v>49561</v>
      </c>
    </row>
    <row r="325" spans="2:8" ht="17.5" customHeight="1">
      <c r="B325" s="76" t="s">
        <v>409</v>
      </c>
      <c r="C325" s="35">
        <v>9073</v>
      </c>
      <c r="D325" s="35">
        <v>9287</v>
      </c>
      <c r="E325" s="35">
        <v>9884</v>
      </c>
      <c r="F325" s="35">
        <v>16834</v>
      </c>
      <c r="G325" s="128">
        <v>16743</v>
      </c>
      <c r="H325" s="128">
        <v>17992</v>
      </c>
    </row>
    <row r="326" spans="2:8" ht="17.5" customHeight="1">
      <c r="B326" s="76" t="s">
        <v>410</v>
      </c>
      <c r="C326" s="35">
        <v>19849</v>
      </c>
      <c r="D326" s="35">
        <v>20072</v>
      </c>
      <c r="E326" s="35">
        <v>21205</v>
      </c>
      <c r="F326" s="35">
        <v>25557</v>
      </c>
      <c r="G326" s="128">
        <v>24788</v>
      </c>
      <c r="H326" s="128">
        <v>26258</v>
      </c>
    </row>
    <row r="327" spans="2:8" ht="17.5" customHeight="1">
      <c r="B327" s="76" t="s">
        <v>411</v>
      </c>
      <c r="C327" s="35">
        <v>3005</v>
      </c>
      <c r="D327" s="35">
        <v>3189</v>
      </c>
      <c r="E327" s="35">
        <v>3379</v>
      </c>
      <c r="F327" s="35">
        <v>4213</v>
      </c>
      <c r="G327" s="134">
        <v>4479</v>
      </c>
      <c r="H327" s="134">
        <v>5311</v>
      </c>
    </row>
    <row r="328" spans="2:8" ht="17.5" customHeight="1">
      <c r="B328" s="96" t="s">
        <v>485</v>
      </c>
      <c r="C328" s="107">
        <v>80</v>
      </c>
      <c r="D328" s="107">
        <v>77</v>
      </c>
      <c r="E328" s="107">
        <v>73</v>
      </c>
      <c r="F328" s="107">
        <v>59</v>
      </c>
      <c r="G328" s="107">
        <v>60</v>
      </c>
      <c r="H328" s="107">
        <v>57</v>
      </c>
    </row>
    <row r="329" spans="2:8" ht="17.5" customHeight="1">
      <c r="B329" s="76" t="s">
        <v>409</v>
      </c>
      <c r="C329" s="32">
        <v>88</v>
      </c>
      <c r="D329" s="32">
        <v>85</v>
      </c>
      <c r="E329" s="32">
        <v>82</v>
      </c>
      <c r="F329" s="32">
        <v>63</v>
      </c>
      <c r="G329" s="132">
        <v>66</v>
      </c>
      <c r="H329" s="132">
        <v>64</v>
      </c>
    </row>
    <row r="330" spans="2:8" ht="17.5" customHeight="1">
      <c r="B330" s="76" t="s">
        <v>410</v>
      </c>
      <c r="C330" s="32">
        <v>83</v>
      </c>
      <c r="D330" s="32">
        <v>80</v>
      </c>
      <c r="E330" s="32">
        <v>75</v>
      </c>
      <c r="F330" s="32">
        <v>60</v>
      </c>
      <c r="G330" s="132">
        <v>61</v>
      </c>
      <c r="H330" s="132">
        <v>59</v>
      </c>
    </row>
    <row r="331" spans="2:8" ht="17.5" customHeight="1">
      <c r="B331" s="76" t="s">
        <v>411</v>
      </c>
      <c r="C331" s="32">
        <v>32</v>
      </c>
      <c r="D331" s="32">
        <v>32</v>
      </c>
      <c r="E331" s="32">
        <v>32</v>
      </c>
      <c r="F331" s="32">
        <v>32</v>
      </c>
      <c r="G331" s="132">
        <v>31</v>
      </c>
      <c r="H331" s="132">
        <v>30</v>
      </c>
    </row>
    <row r="332" spans="2:8" ht="17.5" customHeight="1">
      <c r="B332" s="81" t="s">
        <v>265</v>
      </c>
      <c r="C332" s="17"/>
      <c r="D332" s="17"/>
      <c r="E332" s="17"/>
      <c r="F332" s="17"/>
      <c r="G332" s="17"/>
    </row>
    <row r="333" spans="2:8" ht="17.5" customHeight="1">
      <c r="B333" s="86"/>
      <c r="C333" s="17"/>
      <c r="D333" s="17"/>
      <c r="E333" s="17"/>
      <c r="F333" s="17"/>
      <c r="G333" s="17"/>
    </row>
    <row r="334" spans="2:8" ht="17.5" customHeight="1">
      <c r="B334" s="48" t="s">
        <v>486</v>
      </c>
      <c r="C334" s="17"/>
      <c r="D334" s="17"/>
      <c r="E334" s="17"/>
      <c r="F334" s="17"/>
      <c r="G334" s="17"/>
    </row>
    <row r="335" spans="2:8" ht="17.5" customHeight="1">
      <c r="B335" s="111" t="s">
        <v>408</v>
      </c>
      <c r="C335" s="112">
        <v>2017</v>
      </c>
      <c r="D335" s="112">
        <v>2018</v>
      </c>
      <c r="E335" s="112">
        <v>2019</v>
      </c>
      <c r="F335" s="112" t="s">
        <v>335</v>
      </c>
      <c r="G335" s="112" t="s">
        <v>256</v>
      </c>
      <c r="H335" s="112" t="s">
        <v>257</v>
      </c>
    </row>
    <row r="336" spans="2:8" ht="17.5" customHeight="1">
      <c r="B336" s="96" t="s">
        <v>487</v>
      </c>
      <c r="C336" s="97">
        <v>59572</v>
      </c>
      <c r="D336" s="97">
        <v>56683</v>
      </c>
      <c r="E336" s="97">
        <v>53364</v>
      </c>
      <c r="F336" s="97">
        <v>67166</v>
      </c>
      <c r="G336" s="97">
        <v>61109</v>
      </c>
      <c r="H336" s="524">
        <v>60525</v>
      </c>
    </row>
    <row r="337" spans="2:8" ht="17.5" customHeight="1">
      <c r="B337" s="76" t="s">
        <v>409</v>
      </c>
      <c r="C337" s="35">
        <v>17680</v>
      </c>
      <c r="D337" s="35">
        <v>16891</v>
      </c>
      <c r="E337" s="35">
        <v>15901</v>
      </c>
      <c r="F337" s="35">
        <v>25253</v>
      </c>
      <c r="G337" s="35">
        <v>22697</v>
      </c>
      <c r="H337" s="525">
        <v>22427</v>
      </c>
    </row>
    <row r="338" spans="2:8" ht="17.5" customHeight="1">
      <c r="B338" s="76" t="s">
        <v>410</v>
      </c>
      <c r="C338" s="35">
        <v>38602</v>
      </c>
      <c r="D338" s="35">
        <v>36370</v>
      </c>
      <c r="E338" s="35">
        <v>33929</v>
      </c>
      <c r="F338" s="35">
        <v>37520</v>
      </c>
      <c r="G338" s="35">
        <v>33619</v>
      </c>
      <c r="H338" s="525">
        <v>32465</v>
      </c>
    </row>
    <row r="339" spans="2:8" ht="17.5" customHeight="1">
      <c r="B339" s="76" t="s">
        <v>411</v>
      </c>
      <c r="C339" s="35">
        <v>3290</v>
      </c>
      <c r="D339" s="35">
        <v>3422</v>
      </c>
      <c r="E339" s="35">
        <v>3534</v>
      </c>
      <c r="F339" s="35">
        <v>4393</v>
      </c>
      <c r="G339" s="35">
        <v>4793</v>
      </c>
      <c r="H339" s="525">
        <v>5633</v>
      </c>
    </row>
    <row r="340" spans="2:8" ht="17.5" customHeight="1">
      <c r="B340" s="96" t="s">
        <v>488</v>
      </c>
      <c r="C340" s="107">
        <v>43</v>
      </c>
      <c r="D340" s="107">
        <v>44</v>
      </c>
      <c r="E340" s="107">
        <v>47</v>
      </c>
      <c r="F340" s="107">
        <v>41</v>
      </c>
      <c r="G340" s="107">
        <v>45</v>
      </c>
      <c r="H340" s="107">
        <v>42</v>
      </c>
    </row>
    <row r="341" spans="2:8" ht="17.5" customHeight="1">
      <c r="B341" s="76" t="s">
        <v>409</v>
      </c>
      <c r="C341" s="32">
        <v>45</v>
      </c>
      <c r="D341" s="32">
        <v>47</v>
      </c>
      <c r="E341" s="32">
        <v>51</v>
      </c>
      <c r="F341" s="32">
        <v>42</v>
      </c>
      <c r="G341" s="32">
        <v>45</v>
      </c>
      <c r="H341" s="32">
        <v>45</v>
      </c>
    </row>
    <row r="342" spans="2:8" ht="17.5" customHeight="1">
      <c r="B342" s="76" t="s">
        <v>410</v>
      </c>
      <c r="C342" s="32">
        <v>43</v>
      </c>
      <c r="D342" s="32">
        <v>44</v>
      </c>
      <c r="E342" s="32">
        <v>47</v>
      </c>
      <c r="F342" s="32">
        <v>41</v>
      </c>
      <c r="G342" s="32">
        <v>42</v>
      </c>
      <c r="H342" s="32">
        <v>43</v>
      </c>
    </row>
    <row r="343" spans="2:8" ht="17.5" customHeight="1">
      <c r="B343" s="76" t="s">
        <v>411</v>
      </c>
      <c r="C343" s="32">
        <v>29</v>
      </c>
      <c r="D343" s="32">
        <v>30</v>
      </c>
      <c r="E343" s="32">
        <v>31</v>
      </c>
      <c r="F343" s="32">
        <v>30</v>
      </c>
      <c r="G343" s="32">
        <v>28</v>
      </c>
      <c r="H343" s="32">
        <v>24</v>
      </c>
    </row>
    <row r="344" spans="2:8" ht="17.5" customHeight="1">
      <c r="B344" s="81" t="s">
        <v>265</v>
      </c>
      <c r="C344" s="17"/>
      <c r="D344" s="17"/>
      <c r="E344" s="17"/>
      <c r="F344" s="17"/>
      <c r="G344" s="17"/>
    </row>
    <row r="345" spans="2:8" ht="17.5" customHeight="1">
      <c r="B345" s="86"/>
      <c r="C345" s="17"/>
      <c r="D345" s="17"/>
      <c r="E345" s="17"/>
      <c r="F345" s="17"/>
      <c r="G345" s="17"/>
    </row>
    <row r="346" spans="2:8" ht="17.5" customHeight="1">
      <c r="B346" s="48" t="s">
        <v>489</v>
      </c>
      <c r="C346" s="17"/>
      <c r="D346" s="17"/>
      <c r="E346" s="17"/>
      <c r="F346" s="17"/>
      <c r="G346" s="17"/>
    </row>
    <row r="347" spans="2:8" ht="17.5" customHeight="1">
      <c r="B347" s="95" t="s">
        <v>490</v>
      </c>
      <c r="C347" s="71">
        <v>2017</v>
      </c>
      <c r="D347" s="71">
        <v>2018</v>
      </c>
      <c r="E347" s="71">
        <v>2019</v>
      </c>
      <c r="F347" s="71" t="s">
        <v>335</v>
      </c>
      <c r="G347" s="71" t="s">
        <v>256</v>
      </c>
      <c r="H347" s="71" t="s">
        <v>257</v>
      </c>
    </row>
    <row r="348" spans="2:8" ht="17.5" customHeight="1">
      <c r="B348" s="135" t="s">
        <v>491</v>
      </c>
      <c r="C348" s="136">
        <v>31927</v>
      </c>
      <c r="D348" s="136">
        <v>32548</v>
      </c>
      <c r="E348" s="136">
        <v>34468</v>
      </c>
      <c r="F348" s="136">
        <v>46604</v>
      </c>
      <c r="G348" s="136">
        <v>46010</v>
      </c>
      <c r="H348" s="136">
        <v>49561</v>
      </c>
    </row>
    <row r="349" spans="2:8" ht="17.5" customHeight="1">
      <c r="B349" s="76" t="s">
        <v>492</v>
      </c>
      <c r="C349" s="35">
        <v>5975</v>
      </c>
      <c r="D349" s="35">
        <v>5825</v>
      </c>
      <c r="E349" s="35">
        <v>5537</v>
      </c>
      <c r="F349" s="35">
        <v>10028</v>
      </c>
      <c r="G349" s="128">
        <v>8912</v>
      </c>
      <c r="H349" s="128">
        <v>9987</v>
      </c>
    </row>
    <row r="350" spans="2:8" ht="17.5" customHeight="1">
      <c r="B350" s="76" t="s">
        <v>493</v>
      </c>
      <c r="C350" s="35">
        <v>6033</v>
      </c>
      <c r="D350" s="35">
        <v>5488</v>
      </c>
      <c r="E350" s="35">
        <v>5399</v>
      </c>
      <c r="F350" s="35">
        <v>6433</v>
      </c>
      <c r="G350" s="128">
        <v>8677</v>
      </c>
      <c r="H350" s="128">
        <v>9016</v>
      </c>
    </row>
    <row r="351" spans="2:8" ht="17.5" customHeight="1">
      <c r="B351" s="76" t="s">
        <v>494</v>
      </c>
      <c r="C351" s="35">
        <v>5646</v>
      </c>
      <c r="D351" s="35">
        <v>5373</v>
      </c>
      <c r="E351" s="35">
        <v>5051</v>
      </c>
      <c r="F351" s="35">
        <v>6128</v>
      </c>
      <c r="G351" s="128">
        <v>6519</v>
      </c>
      <c r="H351" s="128">
        <v>8569</v>
      </c>
    </row>
    <row r="352" spans="2:8" ht="17.5" customHeight="1">
      <c r="B352" s="76" t="s">
        <v>495</v>
      </c>
      <c r="C352" s="35">
        <v>5119</v>
      </c>
      <c r="D352" s="35">
        <v>5212</v>
      </c>
      <c r="E352" s="35">
        <v>5077</v>
      </c>
      <c r="F352" s="35">
        <v>8431</v>
      </c>
      <c r="G352" s="128">
        <v>7529</v>
      </c>
      <c r="H352" s="128">
        <v>8081</v>
      </c>
    </row>
    <row r="353" spans="2:8" ht="17.5" customHeight="1">
      <c r="B353" s="76" t="s">
        <v>496</v>
      </c>
      <c r="C353" s="35">
        <v>4662</v>
      </c>
      <c r="D353" s="35">
        <v>4884</v>
      </c>
      <c r="E353" s="35">
        <v>7112</v>
      </c>
      <c r="F353" s="35">
        <v>8655</v>
      </c>
      <c r="G353" s="128">
        <v>7892</v>
      </c>
      <c r="H353" s="128">
        <v>7936</v>
      </c>
    </row>
    <row r="354" spans="2:8" ht="17.5" customHeight="1">
      <c r="B354" s="76" t="s">
        <v>497</v>
      </c>
      <c r="C354" s="35">
        <v>4492</v>
      </c>
      <c r="D354" s="35">
        <v>5766</v>
      </c>
      <c r="E354" s="35">
        <v>6292</v>
      </c>
      <c r="F354" s="35">
        <v>6929</v>
      </c>
      <c r="G354" s="128">
        <v>6481</v>
      </c>
      <c r="H354" s="128">
        <v>5972</v>
      </c>
    </row>
    <row r="355" spans="2:8" ht="17.5" customHeight="1">
      <c r="B355" s="135" t="s">
        <v>498</v>
      </c>
      <c r="C355" s="137">
        <v>80</v>
      </c>
      <c r="D355" s="137">
        <v>77</v>
      </c>
      <c r="E355" s="137">
        <v>73</v>
      </c>
      <c r="F355" s="137">
        <v>59</v>
      </c>
      <c r="G355" s="137">
        <v>60</v>
      </c>
      <c r="H355" s="137">
        <v>57</v>
      </c>
    </row>
    <row r="356" spans="2:8" ht="17.5" customHeight="1">
      <c r="B356" s="76" t="s">
        <v>492</v>
      </c>
      <c r="C356" s="32">
        <v>83</v>
      </c>
      <c r="D356" s="32">
        <v>89</v>
      </c>
      <c r="E356" s="32">
        <v>89</v>
      </c>
      <c r="F356" s="32">
        <v>78</v>
      </c>
      <c r="G356" s="132">
        <v>78</v>
      </c>
      <c r="H356" s="132">
        <v>76</v>
      </c>
    </row>
    <row r="357" spans="2:8" ht="17.5" customHeight="1">
      <c r="B357" s="76" t="s">
        <v>493</v>
      </c>
      <c r="C357" s="32">
        <v>88</v>
      </c>
      <c r="D357" s="32">
        <v>84</v>
      </c>
      <c r="E357" s="32">
        <v>86</v>
      </c>
      <c r="F357" s="32">
        <v>70</v>
      </c>
      <c r="G357" s="132">
        <v>73</v>
      </c>
      <c r="H357" s="132">
        <v>66</v>
      </c>
    </row>
    <row r="358" spans="2:8" ht="17.5" customHeight="1">
      <c r="B358" s="76" t="s">
        <v>494</v>
      </c>
      <c r="C358" s="32">
        <v>85</v>
      </c>
      <c r="D358" s="32">
        <v>84</v>
      </c>
      <c r="E358" s="32">
        <v>85</v>
      </c>
      <c r="F358" s="32">
        <v>70</v>
      </c>
      <c r="G358" s="132">
        <v>64</v>
      </c>
      <c r="H358" s="132">
        <v>61</v>
      </c>
    </row>
    <row r="359" spans="2:8" ht="17.5" customHeight="1">
      <c r="B359" s="76" t="s">
        <v>495</v>
      </c>
      <c r="C359" s="32">
        <v>82</v>
      </c>
      <c r="D359" s="32">
        <v>82</v>
      </c>
      <c r="E359" s="32">
        <v>83</v>
      </c>
      <c r="F359" s="32">
        <v>48</v>
      </c>
      <c r="G359" s="132">
        <v>53</v>
      </c>
      <c r="H359" s="132">
        <v>50</v>
      </c>
    </row>
    <row r="360" spans="2:8" ht="17.5" customHeight="1">
      <c r="B360" s="76" t="s">
        <v>496</v>
      </c>
      <c r="C360" s="32">
        <v>79</v>
      </c>
      <c r="D360" s="32">
        <v>78</v>
      </c>
      <c r="E360" s="32">
        <v>56</v>
      </c>
      <c r="F360" s="32">
        <v>46</v>
      </c>
      <c r="G360" s="132">
        <v>48</v>
      </c>
      <c r="H360" s="132">
        <v>47</v>
      </c>
    </row>
    <row r="361" spans="2:8" ht="17.5" customHeight="1">
      <c r="B361" s="76" t="s">
        <v>497</v>
      </c>
      <c r="C361" s="32">
        <v>54</v>
      </c>
      <c r="D361" s="32">
        <v>45</v>
      </c>
      <c r="E361" s="32">
        <v>48</v>
      </c>
      <c r="F361" s="32">
        <v>42</v>
      </c>
      <c r="G361" s="132">
        <v>35</v>
      </c>
      <c r="H361" s="132">
        <v>31</v>
      </c>
    </row>
    <row r="362" spans="2:8" ht="17.5" customHeight="1">
      <c r="B362" s="81" t="s">
        <v>265</v>
      </c>
      <c r="C362" s="17"/>
      <c r="D362" s="17"/>
      <c r="E362" s="17"/>
      <c r="F362" s="17"/>
      <c r="G362" s="17"/>
    </row>
    <row r="363" spans="2:8" ht="17.5" customHeight="1">
      <c r="B363" s="86"/>
      <c r="C363" s="17"/>
      <c r="D363" s="17"/>
      <c r="E363" s="17"/>
      <c r="F363" s="17"/>
      <c r="G363" s="17"/>
    </row>
    <row r="364" spans="2:8" ht="17.5" customHeight="1">
      <c r="B364" s="49" t="s">
        <v>499</v>
      </c>
      <c r="C364" s="17"/>
      <c r="D364" s="17"/>
      <c r="E364" s="17"/>
      <c r="F364" s="17"/>
      <c r="G364" s="17"/>
    </row>
    <row r="365" spans="2:8" ht="17.5" customHeight="1">
      <c r="B365" s="95" t="s">
        <v>408</v>
      </c>
      <c r="C365" s="71">
        <v>2017</v>
      </c>
      <c r="D365" s="71">
        <v>2018</v>
      </c>
      <c r="E365" s="71">
        <v>2019</v>
      </c>
      <c r="F365" s="71" t="s">
        <v>335</v>
      </c>
      <c r="G365" s="71" t="s">
        <v>256</v>
      </c>
      <c r="H365" s="71" t="s">
        <v>257</v>
      </c>
    </row>
    <row r="366" spans="2:8" ht="17.5" customHeight="1">
      <c r="B366" s="96" t="s">
        <v>500</v>
      </c>
      <c r="C366" s="97">
        <v>14067</v>
      </c>
      <c r="D366" s="97">
        <v>15126</v>
      </c>
      <c r="E366" s="97">
        <v>15825</v>
      </c>
      <c r="F366" s="97">
        <v>18895</v>
      </c>
      <c r="G366" s="97">
        <v>19965</v>
      </c>
      <c r="H366" s="524">
        <v>20695</v>
      </c>
    </row>
    <row r="367" spans="2:8" ht="17.5" customHeight="1">
      <c r="B367" s="76" t="s">
        <v>409</v>
      </c>
      <c r="C367" s="35">
        <v>4510</v>
      </c>
      <c r="D367" s="35">
        <v>4962</v>
      </c>
      <c r="E367" s="35">
        <v>5205</v>
      </c>
      <c r="F367" s="35">
        <v>6691</v>
      </c>
      <c r="G367" s="128">
        <v>7073</v>
      </c>
      <c r="H367" s="128">
        <v>7418</v>
      </c>
    </row>
    <row r="368" spans="2:8" ht="17.5" customHeight="1">
      <c r="B368" s="76" t="s">
        <v>410</v>
      </c>
      <c r="C368" s="35">
        <v>8902</v>
      </c>
      <c r="D368" s="35">
        <v>9127</v>
      </c>
      <c r="E368" s="35">
        <v>9374</v>
      </c>
      <c r="F368" s="35">
        <v>10838</v>
      </c>
      <c r="G368" s="128">
        <v>11237</v>
      </c>
      <c r="H368" s="128">
        <v>11458</v>
      </c>
    </row>
    <row r="369" spans="2:8" ht="17.5" customHeight="1">
      <c r="B369" s="76" t="s">
        <v>411</v>
      </c>
      <c r="C369" s="32">
        <v>655</v>
      </c>
      <c r="D369" s="35">
        <v>1037</v>
      </c>
      <c r="E369" s="35">
        <v>1246</v>
      </c>
      <c r="F369" s="35">
        <v>1366</v>
      </c>
      <c r="G369" s="128">
        <v>1655</v>
      </c>
      <c r="H369" s="128">
        <v>1819</v>
      </c>
    </row>
    <row r="370" spans="2:8" ht="17.5" customHeight="1">
      <c r="B370" s="96" t="s">
        <v>501</v>
      </c>
      <c r="C370" s="107">
        <v>38</v>
      </c>
      <c r="D370" s="107">
        <v>38</v>
      </c>
      <c r="E370" s="107">
        <v>41</v>
      </c>
      <c r="F370" s="107">
        <v>37</v>
      </c>
      <c r="G370" s="107">
        <v>37</v>
      </c>
      <c r="H370" s="107">
        <v>35</v>
      </c>
    </row>
    <row r="371" spans="2:8" ht="17.5" customHeight="1">
      <c r="B371" s="76" t="s">
        <v>409</v>
      </c>
      <c r="C371" s="32">
        <v>39</v>
      </c>
      <c r="D371" s="32">
        <v>38</v>
      </c>
      <c r="E371" s="32">
        <v>41</v>
      </c>
      <c r="F371" s="32">
        <v>37</v>
      </c>
      <c r="G371" s="132">
        <v>37</v>
      </c>
      <c r="H371" s="132">
        <v>37</v>
      </c>
    </row>
    <row r="372" spans="2:8" ht="17.5" customHeight="1">
      <c r="B372" s="76" t="s">
        <v>410</v>
      </c>
      <c r="C372" s="32">
        <v>36</v>
      </c>
      <c r="D372" s="32">
        <v>39</v>
      </c>
      <c r="E372" s="32">
        <v>42</v>
      </c>
      <c r="F372" s="32">
        <v>37</v>
      </c>
      <c r="G372" s="132">
        <v>38</v>
      </c>
      <c r="H372" s="132">
        <v>36</v>
      </c>
    </row>
    <row r="373" spans="2:8" ht="17.5" customHeight="1">
      <c r="B373" s="76" t="s">
        <v>411</v>
      </c>
      <c r="C373" s="32">
        <v>56</v>
      </c>
      <c r="D373" s="32">
        <v>35</v>
      </c>
      <c r="E373" s="32">
        <v>30</v>
      </c>
      <c r="F373" s="32">
        <v>30</v>
      </c>
      <c r="G373" s="132">
        <v>28</v>
      </c>
      <c r="H373" s="132">
        <v>23</v>
      </c>
    </row>
    <row r="374" spans="2:8" ht="17.5" customHeight="1">
      <c r="B374" s="81" t="s">
        <v>265</v>
      </c>
      <c r="C374" s="17"/>
      <c r="D374" s="17"/>
      <c r="E374" s="17"/>
      <c r="F374" s="17"/>
      <c r="G374" s="17"/>
    </row>
    <row r="376" spans="2:8" ht="17.5" customHeight="1">
      <c r="B376" s="88" t="s">
        <v>502</v>
      </c>
      <c r="C376" s="17"/>
      <c r="D376" s="17"/>
      <c r="E376" s="17"/>
      <c r="F376" s="17"/>
      <c r="G376" s="17"/>
    </row>
    <row r="377" spans="2:8" ht="17.5" customHeight="1">
      <c r="B377" s="138" t="s">
        <v>490</v>
      </c>
      <c r="C377" s="526">
        <v>2017</v>
      </c>
      <c r="D377" s="526">
        <v>2018</v>
      </c>
      <c r="E377" s="526">
        <v>2019</v>
      </c>
      <c r="F377" s="526" t="s">
        <v>335</v>
      </c>
      <c r="G377" s="526" t="s">
        <v>256</v>
      </c>
      <c r="H377" s="526" t="s">
        <v>257</v>
      </c>
    </row>
    <row r="378" spans="2:8" ht="17.5" customHeight="1">
      <c r="B378" s="129" t="s">
        <v>491</v>
      </c>
      <c r="C378" s="31">
        <v>14067</v>
      </c>
      <c r="D378" s="31">
        <v>15367</v>
      </c>
      <c r="E378" s="31">
        <v>15825</v>
      </c>
      <c r="F378" s="31">
        <v>18895</v>
      </c>
      <c r="G378" s="31">
        <v>19965</v>
      </c>
      <c r="H378" s="31">
        <v>20695</v>
      </c>
    </row>
    <row r="379" spans="2:8" ht="17.5" customHeight="1">
      <c r="B379" s="105" t="s">
        <v>503</v>
      </c>
      <c r="C379" s="65">
        <v>3673</v>
      </c>
      <c r="D379" s="65">
        <v>3861</v>
      </c>
      <c r="E379" s="65">
        <v>3862</v>
      </c>
      <c r="F379" s="65">
        <v>5168</v>
      </c>
      <c r="G379" s="144">
        <v>4885</v>
      </c>
      <c r="H379" s="144">
        <v>4983</v>
      </c>
    </row>
    <row r="380" spans="2:8" ht="17.5" customHeight="1">
      <c r="B380" s="105" t="s">
        <v>504</v>
      </c>
      <c r="C380" s="65">
        <v>3075</v>
      </c>
      <c r="D380" s="65">
        <v>3171</v>
      </c>
      <c r="E380" s="65">
        <v>3371</v>
      </c>
      <c r="F380" s="65">
        <v>4263</v>
      </c>
      <c r="G380" s="144">
        <v>4458</v>
      </c>
      <c r="H380" s="144">
        <v>4668</v>
      </c>
    </row>
    <row r="381" spans="2:8" ht="17.5" customHeight="1">
      <c r="B381" s="105" t="s">
        <v>505</v>
      </c>
      <c r="C381" s="65">
        <v>2618</v>
      </c>
      <c r="D381" s="65">
        <v>2549</v>
      </c>
      <c r="E381" s="65">
        <v>2718</v>
      </c>
      <c r="F381" s="65">
        <v>3225</v>
      </c>
      <c r="G381" s="144">
        <v>3440</v>
      </c>
      <c r="H381" s="144">
        <v>3538</v>
      </c>
    </row>
    <row r="382" spans="2:8" ht="17.5" customHeight="1">
      <c r="B382" s="105" t="s">
        <v>506</v>
      </c>
      <c r="C382" s="65">
        <v>1639</v>
      </c>
      <c r="D382" s="65">
        <v>1974</v>
      </c>
      <c r="E382" s="65">
        <v>2003</v>
      </c>
      <c r="F382" s="65">
        <v>2264</v>
      </c>
      <c r="G382" s="144">
        <v>2735</v>
      </c>
      <c r="H382" s="144">
        <v>2582</v>
      </c>
    </row>
    <row r="383" spans="2:8" ht="17.5" customHeight="1">
      <c r="B383" s="105" t="s">
        <v>507</v>
      </c>
      <c r="C383" s="65">
        <v>1548</v>
      </c>
      <c r="D383" s="65">
        <v>1932</v>
      </c>
      <c r="E383" s="65">
        <v>1958</v>
      </c>
      <c r="F383" s="65">
        <v>2012</v>
      </c>
      <c r="G383" s="144">
        <v>2337</v>
      </c>
      <c r="H383" s="144">
        <v>2585</v>
      </c>
    </row>
    <row r="384" spans="2:8" ht="17.5" customHeight="1">
      <c r="B384" s="105" t="s">
        <v>508</v>
      </c>
      <c r="C384" s="65">
        <v>1514</v>
      </c>
      <c r="D384" s="65">
        <v>1880</v>
      </c>
      <c r="E384" s="65">
        <v>1913</v>
      </c>
      <c r="F384" s="65">
        <v>1963</v>
      </c>
      <c r="G384" s="144">
        <v>2110</v>
      </c>
      <c r="H384" s="144">
        <v>2339</v>
      </c>
    </row>
    <row r="385" spans="2:8" ht="17.5" customHeight="1">
      <c r="B385" s="129" t="s">
        <v>501</v>
      </c>
      <c r="C385" s="119">
        <v>38</v>
      </c>
      <c r="D385" s="119">
        <v>38</v>
      </c>
      <c r="E385" s="119">
        <v>41</v>
      </c>
      <c r="F385" s="119">
        <v>37</v>
      </c>
      <c r="G385" s="119">
        <v>37</v>
      </c>
      <c r="H385" s="119">
        <v>35</v>
      </c>
    </row>
    <row r="386" spans="2:8" ht="17.5" customHeight="1">
      <c r="B386" s="105" t="s">
        <v>503</v>
      </c>
      <c r="C386" s="33">
        <v>42</v>
      </c>
      <c r="D386" s="33">
        <v>48</v>
      </c>
      <c r="E386" s="33">
        <v>51</v>
      </c>
      <c r="F386" s="33">
        <v>42</v>
      </c>
      <c r="G386" s="116">
        <v>46</v>
      </c>
      <c r="H386" s="116">
        <v>45</v>
      </c>
    </row>
    <row r="387" spans="2:8" ht="17.5" customHeight="1">
      <c r="B387" s="105" t="s">
        <v>504</v>
      </c>
      <c r="C387" s="33">
        <v>41</v>
      </c>
      <c r="D387" s="33">
        <v>43</v>
      </c>
      <c r="E387" s="33">
        <v>49</v>
      </c>
      <c r="F387" s="33">
        <v>41</v>
      </c>
      <c r="G387" s="116">
        <v>43</v>
      </c>
      <c r="H387" s="116">
        <v>41</v>
      </c>
    </row>
    <row r="388" spans="2:8" ht="17.5" customHeight="1">
      <c r="B388" s="105" t="s">
        <v>505</v>
      </c>
      <c r="C388" s="33">
        <v>38</v>
      </c>
      <c r="D388" s="33">
        <v>39</v>
      </c>
      <c r="E388" s="33">
        <v>44</v>
      </c>
      <c r="F388" s="33">
        <v>40</v>
      </c>
      <c r="G388" s="116">
        <v>36</v>
      </c>
      <c r="H388" s="116">
        <v>35</v>
      </c>
    </row>
    <row r="389" spans="2:8" ht="17.5" customHeight="1">
      <c r="B389" s="105" t="s">
        <v>506</v>
      </c>
      <c r="C389" s="33">
        <v>34</v>
      </c>
      <c r="D389" s="33">
        <v>31</v>
      </c>
      <c r="E389" s="33">
        <v>31</v>
      </c>
      <c r="F389" s="33">
        <v>29</v>
      </c>
      <c r="G389" s="116">
        <v>27</v>
      </c>
      <c r="H389" s="116">
        <v>29</v>
      </c>
    </row>
    <row r="390" spans="2:8" ht="17.5" customHeight="1">
      <c r="B390" s="105" t="s">
        <v>507</v>
      </c>
      <c r="C390" s="33">
        <v>31</v>
      </c>
      <c r="D390" s="33">
        <v>27</v>
      </c>
      <c r="E390" s="33">
        <v>29</v>
      </c>
      <c r="F390" s="33">
        <v>27</v>
      </c>
      <c r="G390" s="116">
        <v>27</v>
      </c>
      <c r="H390" s="116">
        <v>24</v>
      </c>
    </row>
    <row r="391" spans="2:8" ht="17.5" customHeight="1">
      <c r="B391" s="105" t="s">
        <v>508</v>
      </c>
      <c r="C391" s="33">
        <v>29</v>
      </c>
      <c r="D391" s="33">
        <v>24</v>
      </c>
      <c r="E391" s="33">
        <v>26</v>
      </c>
      <c r="F391" s="33">
        <v>26</v>
      </c>
      <c r="G391" s="116">
        <v>26</v>
      </c>
      <c r="H391" s="116">
        <v>23</v>
      </c>
    </row>
    <row r="392" spans="2:8" ht="17.5" customHeight="1">
      <c r="B392" s="50" t="s">
        <v>509</v>
      </c>
      <c r="C392" s="17"/>
      <c r="D392" s="17"/>
      <c r="E392" s="17"/>
      <c r="F392" s="17"/>
      <c r="G392" s="17"/>
    </row>
    <row r="394" spans="2:8" ht="17.5" customHeight="1">
      <c r="B394" s="48" t="s">
        <v>510</v>
      </c>
      <c r="C394" s="17"/>
      <c r="D394" s="17"/>
      <c r="E394" s="17"/>
      <c r="F394" s="17"/>
      <c r="G394" s="17"/>
    </row>
    <row r="395" spans="2:8" ht="17.5" customHeight="1">
      <c r="B395" s="95" t="s">
        <v>418</v>
      </c>
      <c r="C395" s="71">
        <v>2017</v>
      </c>
      <c r="D395" s="71">
        <v>2018</v>
      </c>
      <c r="E395" s="71">
        <v>2019</v>
      </c>
      <c r="F395" s="71" t="s">
        <v>335</v>
      </c>
      <c r="G395" s="71" t="s">
        <v>256</v>
      </c>
      <c r="H395" s="71" t="s">
        <v>257</v>
      </c>
    </row>
    <row r="396" spans="2:8" ht="17.5" customHeight="1">
      <c r="B396" s="96" t="s">
        <v>476</v>
      </c>
      <c r="C396" s="97">
        <v>3014</v>
      </c>
      <c r="D396" s="97">
        <v>2846</v>
      </c>
      <c r="E396" s="97">
        <v>2860</v>
      </c>
      <c r="F396" s="97">
        <v>3220</v>
      </c>
      <c r="G396" s="97">
        <v>3296</v>
      </c>
      <c r="H396" s="524">
        <v>3753</v>
      </c>
    </row>
    <row r="397" spans="2:8" ht="17.5" customHeight="1">
      <c r="B397" s="76" t="s">
        <v>409</v>
      </c>
      <c r="C397" s="32">
        <v>759</v>
      </c>
      <c r="D397" s="32">
        <v>756</v>
      </c>
      <c r="E397" s="32">
        <v>752</v>
      </c>
      <c r="F397" s="32">
        <v>935</v>
      </c>
      <c r="G397" s="128">
        <v>1120</v>
      </c>
      <c r="H397" s="128">
        <v>1342</v>
      </c>
    </row>
    <row r="398" spans="2:8" ht="17.5" customHeight="1">
      <c r="B398" s="76" t="s">
        <v>410</v>
      </c>
      <c r="C398" s="32">
        <v>410</v>
      </c>
      <c r="D398" s="32">
        <v>439</v>
      </c>
      <c r="E398" s="32">
        <v>468</v>
      </c>
      <c r="F398" s="32">
        <v>563</v>
      </c>
      <c r="G398" s="132">
        <v>741</v>
      </c>
      <c r="H398" s="132">
        <v>881</v>
      </c>
    </row>
    <row r="399" spans="2:8" ht="17.5" customHeight="1">
      <c r="B399" s="76" t="s">
        <v>411</v>
      </c>
      <c r="C399" s="35">
        <v>1845</v>
      </c>
      <c r="D399" s="35">
        <v>1651</v>
      </c>
      <c r="E399" s="32">
        <v>1640</v>
      </c>
      <c r="F399" s="32">
        <v>1722</v>
      </c>
      <c r="G399" s="128">
        <v>1435</v>
      </c>
      <c r="H399" s="128">
        <v>1530</v>
      </c>
    </row>
    <row r="400" spans="2:8" ht="17.5" customHeight="1">
      <c r="B400" s="96" t="s">
        <v>511</v>
      </c>
      <c r="C400" s="107">
        <v>26</v>
      </c>
      <c r="D400" s="107">
        <v>28</v>
      </c>
      <c r="E400" s="107">
        <v>28</v>
      </c>
      <c r="F400" s="107">
        <v>27</v>
      </c>
      <c r="G400" s="107">
        <v>25</v>
      </c>
      <c r="H400" s="107">
        <v>28</v>
      </c>
    </row>
    <row r="401" spans="2:8" ht="17.5" customHeight="1">
      <c r="B401" s="76" t="s">
        <v>409</v>
      </c>
      <c r="C401" s="32">
        <v>27</v>
      </c>
      <c r="D401" s="32">
        <v>29</v>
      </c>
      <c r="E401" s="32">
        <v>27</v>
      </c>
      <c r="F401" s="32">
        <v>25</v>
      </c>
      <c r="G401" s="132">
        <v>22</v>
      </c>
      <c r="H401" s="132">
        <v>25</v>
      </c>
    </row>
    <row r="402" spans="2:8" ht="17.5" customHeight="1">
      <c r="B402" s="76" t="s">
        <v>410</v>
      </c>
      <c r="C402" s="32">
        <v>30</v>
      </c>
      <c r="D402" s="32">
        <v>28</v>
      </c>
      <c r="E402" s="32">
        <v>27</v>
      </c>
      <c r="F402" s="32">
        <v>27</v>
      </c>
      <c r="G402" s="132">
        <v>22</v>
      </c>
      <c r="H402" s="132">
        <v>26</v>
      </c>
    </row>
    <row r="403" spans="2:8" ht="17.5" customHeight="1">
      <c r="B403" s="76" t="s">
        <v>411</v>
      </c>
      <c r="C403" s="32">
        <v>25</v>
      </c>
      <c r="D403" s="32">
        <v>28</v>
      </c>
      <c r="E403" s="32">
        <v>28</v>
      </c>
      <c r="F403" s="32">
        <v>29</v>
      </c>
      <c r="G403" s="132">
        <v>29</v>
      </c>
      <c r="H403" s="132">
        <v>31</v>
      </c>
    </row>
    <row r="404" spans="2:8" ht="17.5" customHeight="1">
      <c r="B404" s="81" t="s">
        <v>265</v>
      </c>
      <c r="C404" s="17"/>
      <c r="D404" s="17"/>
      <c r="E404" s="17"/>
      <c r="F404" s="17"/>
      <c r="G404" s="17"/>
    </row>
    <row r="406" spans="2:8" ht="17.5" customHeight="1">
      <c r="B406" s="88" t="s">
        <v>512</v>
      </c>
      <c r="C406" s="17"/>
      <c r="D406" s="17"/>
      <c r="E406" s="17"/>
      <c r="F406" s="17"/>
      <c r="G406" s="17"/>
    </row>
    <row r="407" spans="2:8" ht="17.5" customHeight="1">
      <c r="B407" s="138" t="s">
        <v>513</v>
      </c>
      <c r="C407" s="63">
        <v>2017</v>
      </c>
      <c r="D407" s="63">
        <v>2018</v>
      </c>
      <c r="E407" s="63">
        <v>2019</v>
      </c>
      <c r="F407" s="63" t="s">
        <v>335</v>
      </c>
      <c r="G407" s="63" t="s">
        <v>256</v>
      </c>
      <c r="H407" s="63" t="s">
        <v>257</v>
      </c>
    </row>
    <row r="408" spans="2:8" ht="17.5" customHeight="1">
      <c r="B408" s="129" t="s">
        <v>491</v>
      </c>
      <c r="C408" s="31">
        <v>3014</v>
      </c>
      <c r="D408" s="31">
        <v>2846</v>
      </c>
      <c r="E408" s="31">
        <v>2860</v>
      </c>
      <c r="F408" s="31">
        <v>3220</v>
      </c>
      <c r="G408" s="31">
        <v>3296</v>
      </c>
      <c r="H408" s="31">
        <v>3753</v>
      </c>
    </row>
    <row r="409" spans="2:8" ht="17.5" customHeight="1">
      <c r="B409" s="105" t="s">
        <v>514</v>
      </c>
      <c r="C409" s="33">
        <v>456</v>
      </c>
      <c r="D409" s="33">
        <v>394</v>
      </c>
      <c r="E409" s="33">
        <v>470</v>
      </c>
      <c r="F409" s="33">
        <v>587</v>
      </c>
      <c r="G409" s="116">
        <v>515</v>
      </c>
      <c r="H409" s="116">
        <v>511</v>
      </c>
    </row>
    <row r="410" spans="2:8" ht="17.5" customHeight="1">
      <c r="B410" s="105" t="s">
        <v>515</v>
      </c>
      <c r="C410" s="33">
        <v>101</v>
      </c>
      <c r="D410" s="33">
        <v>30</v>
      </c>
      <c r="E410" s="33">
        <v>17</v>
      </c>
      <c r="F410" s="33">
        <v>29</v>
      </c>
      <c r="G410" s="116">
        <v>21</v>
      </c>
      <c r="H410" s="116">
        <v>22</v>
      </c>
    </row>
    <row r="411" spans="2:8" ht="17.5" customHeight="1">
      <c r="B411" s="105" t="s">
        <v>516</v>
      </c>
      <c r="C411" s="65">
        <v>1021</v>
      </c>
      <c r="D411" s="65">
        <v>1040</v>
      </c>
      <c r="E411" s="33">
        <v>929</v>
      </c>
      <c r="F411" s="65">
        <v>1047</v>
      </c>
      <c r="G411" s="144">
        <v>1270</v>
      </c>
      <c r="H411" s="144">
        <v>1397</v>
      </c>
    </row>
    <row r="412" spans="2:8" ht="17.5" customHeight="1">
      <c r="B412" s="105" t="s">
        <v>517</v>
      </c>
      <c r="C412" s="33">
        <v>778</v>
      </c>
      <c r="D412" s="33">
        <v>728</v>
      </c>
      <c r="E412" s="33">
        <v>784</v>
      </c>
      <c r="F412" s="33">
        <v>796</v>
      </c>
      <c r="G412" s="116">
        <v>816</v>
      </c>
      <c r="H412" s="116">
        <v>1041</v>
      </c>
    </row>
    <row r="413" spans="2:8" ht="17.5" customHeight="1">
      <c r="B413" s="105" t="s">
        <v>518</v>
      </c>
      <c r="C413" s="33">
        <v>658</v>
      </c>
      <c r="D413" s="33">
        <v>654</v>
      </c>
      <c r="E413" s="33">
        <v>660</v>
      </c>
      <c r="F413" s="33">
        <v>761</v>
      </c>
      <c r="G413" s="116">
        <v>674</v>
      </c>
      <c r="H413" s="116">
        <v>782</v>
      </c>
    </row>
    <row r="414" spans="2:8" ht="17.5" customHeight="1">
      <c r="B414" s="129" t="s">
        <v>511</v>
      </c>
      <c r="C414" s="119">
        <v>26</v>
      </c>
      <c r="D414" s="119">
        <v>28</v>
      </c>
      <c r="E414" s="119">
        <v>28</v>
      </c>
      <c r="F414" s="119">
        <v>27</v>
      </c>
      <c r="G414" s="119">
        <v>25</v>
      </c>
      <c r="H414" s="119">
        <v>28</v>
      </c>
    </row>
    <row r="415" spans="2:8" ht="17.5" customHeight="1">
      <c r="B415" s="105" t="s">
        <v>514</v>
      </c>
      <c r="C415" s="33">
        <v>25</v>
      </c>
      <c r="D415" s="33">
        <v>22</v>
      </c>
      <c r="E415" s="33">
        <v>24</v>
      </c>
      <c r="F415" s="33">
        <v>25</v>
      </c>
      <c r="G415" s="116">
        <v>25</v>
      </c>
      <c r="H415" s="116">
        <v>27</v>
      </c>
    </row>
    <row r="416" spans="2:8" ht="17.5" customHeight="1">
      <c r="B416" s="105" t="s">
        <v>515</v>
      </c>
      <c r="C416" s="33">
        <v>21</v>
      </c>
      <c r="D416" s="33">
        <v>20</v>
      </c>
      <c r="E416" s="33">
        <v>20</v>
      </c>
      <c r="F416" s="33">
        <v>16</v>
      </c>
      <c r="G416" s="116">
        <v>25</v>
      </c>
      <c r="H416" s="116">
        <v>17</v>
      </c>
    </row>
    <row r="417" spans="2:8" ht="17.5" customHeight="1">
      <c r="B417" s="105" t="s">
        <v>516</v>
      </c>
      <c r="C417" s="33">
        <v>24</v>
      </c>
      <c r="D417" s="33">
        <v>28</v>
      </c>
      <c r="E417" s="33">
        <v>28</v>
      </c>
      <c r="F417" s="33">
        <v>29</v>
      </c>
      <c r="G417" s="116">
        <v>22</v>
      </c>
      <c r="H417" s="116">
        <v>28</v>
      </c>
    </row>
    <row r="418" spans="2:8" ht="17.5" customHeight="1">
      <c r="B418" s="105" t="s">
        <v>517</v>
      </c>
      <c r="C418" s="33">
        <v>26</v>
      </c>
      <c r="D418" s="33">
        <v>28</v>
      </c>
      <c r="E418" s="33">
        <v>29</v>
      </c>
      <c r="F418" s="33">
        <v>26</v>
      </c>
      <c r="G418" s="116">
        <v>30</v>
      </c>
      <c r="H418" s="116">
        <v>26</v>
      </c>
    </row>
    <row r="419" spans="2:8" ht="17.5" customHeight="1">
      <c r="B419" s="105" t="s">
        <v>518</v>
      </c>
      <c r="C419" s="33">
        <v>33</v>
      </c>
      <c r="D419" s="33">
        <v>32</v>
      </c>
      <c r="E419" s="33">
        <v>28</v>
      </c>
      <c r="F419" s="33">
        <v>28</v>
      </c>
      <c r="G419" s="116">
        <v>27</v>
      </c>
      <c r="H419" s="116">
        <v>31</v>
      </c>
    </row>
    <row r="420" spans="2:8" ht="17.5" customHeight="1">
      <c r="B420" s="50" t="s">
        <v>509</v>
      </c>
      <c r="C420" s="17"/>
      <c r="D420" s="17"/>
      <c r="E420" s="17"/>
      <c r="F420" s="17"/>
      <c r="G420" s="17"/>
    </row>
    <row r="422" spans="2:8" ht="17.5" customHeight="1">
      <c r="B422" s="25" t="s">
        <v>33</v>
      </c>
    </row>
    <row r="424" spans="2:8" ht="17.5" customHeight="1">
      <c r="B424" s="48" t="s">
        <v>519</v>
      </c>
      <c r="C424" s="17"/>
      <c r="D424" s="17" t="s">
        <v>704</v>
      </c>
      <c r="E424" s="17"/>
      <c r="F424" s="17"/>
      <c r="G424" s="17"/>
    </row>
    <row r="425" spans="2:8" ht="17.5" customHeight="1">
      <c r="B425" s="538" t="s">
        <v>520</v>
      </c>
      <c r="C425" s="539">
        <v>2017</v>
      </c>
      <c r="D425" s="539">
        <v>2018</v>
      </c>
      <c r="E425" s="539">
        <v>2019</v>
      </c>
      <c r="F425" s="539" t="s">
        <v>335</v>
      </c>
      <c r="G425" s="539" t="s">
        <v>256</v>
      </c>
      <c r="H425" s="539" t="s">
        <v>257</v>
      </c>
    </row>
    <row r="426" spans="2:8" ht="17.5" customHeight="1">
      <c r="B426" s="540" t="s">
        <v>521</v>
      </c>
      <c r="C426" s="541">
        <v>923141</v>
      </c>
      <c r="D426" s="541">
        <v>940824</v>
      </c>
      <c r="E426" s="541">
        <v>988676</v>
      </c>
      <c r="F426" s="541">
        <v>1468098</v>
      </c>
      <c r="G426" s="541">
        <v>1835956</v>
      </c>
      <c r="H426" s="541">
        <v>1890226</v>
      </c>
    </row>
    <row r="427" spans="2:8" ht="17.5" customHeight="1">
      <c r="B427" s="105" t="s">
        <v>477</v>
      </c>
      <c r="C427" s="542">
        <v>257094</v>
      </c>
      <c r="D427" s="542">
        <v>263242</v>
      </c>
      <c r="E427" s="542">
        <v>271860</v>
      </c>
      <c r="F427" s="141">
        <v>513801</v>
      </c>
      <c r="G427" s="141">
        <v>669133</v>
      </c>
      <c r="H427" s="141">
        <v>691551</v>
      </c>
    </row>
    <row r="428" spans="2:8" ht="17.5" customHeight="1">
      <c r="B428" s="105" t="s">
        <v>478</v>
      </c>
      <c r="C428" s="542">
        <v>527559</v>
      </c>
      <c r="D428" s="542">
        <v>528909</v>
      </c>
      <c r="E428" s="542">
        <v>539788</v>
      </c>
      <c r="F428" s="141">
        <v>738765</v>
      </c>
      <c r="G428" s="141">
        <v>932513</v>
      </c>
      <c r="H428" s="141">
        <v>936345</v>
      </c>
    </row>
    <row r="429" spans="2:8" ht="17.5" customHeight="1">
      <c r="B429" s="105" t="s">
        <v>479</v>
      </c>
      <c r="C429" s="542">
        <v>138488</v>
      </c>
      <c r="D429" s="542">
        <v>148673</v>
      </c>
      <c r="E429" s="542">
        <v>177028</v>
      </c>
      <c r="F429" s="141">
        <v>215532</v>
      </c>
      <c r="G429" s="141">
        <v>234310</v>
      </c>
      <c r="H429" s="141">
        <v>262330</v>
      </c>
    </row>
    <row r="430" spans="2:8" ht="17.5" customHeight="1">
      <c r="B430" s="96" t="s">
        <v>523</v>
      </c>
      <c r="C430" s="543">
        <v>4</v>
      </c>
      <c r="D430" s="543">
        <v>4</v>
      </c>
      <c r="E430" s="543">
        <v>4</v>
      </c>
      <c r="F430" s="543">
        <v>3</v>
      </c>
      <c r="G430" s="543">
        <v>3</v>
      </c>
      <c r="H430" s="543">
        <v>3</v>
      </c>
    </row>
    <row r="431" spans="2:8" ht="17.5" customHeight="1">
      <c r="B431" s="105" t="s">
        <v>477</v>
      </c>
      <c r="C431" s="143">
        <v>5</v>
      </c>
      <c r="D431" s="143">
        <v>5</v>
      </c>
      <c r="E431" s="143">
        <v>5</v>
      </c>
      <c r="F431" s="143">
        <v>3</v>
      </c>
      <c r="G431" s="143">
        <v>3</v>
      </c>
      <c r="H431" s="143">
        <v>3</v>
      </c>
    </row>
    <row r="432" spans="2:8" ht="17.5" customHeight="1">
      <c r="B432" s="105" t="s">
        <v>478</v>
      </c>
      <c r="C432" s="143">
        <v>5</v>
      </c>
      <c r="D432" s="143">
        <v>5</v>
      </c>
      <c r="E432" s="143">
        <v>5</v>
      </c>
      <c r="F432" s="143">
        <v>3</v>
      </c>
      <c r="G432" s="143">
        <v>3</v>
      </c>
      <c r="H432" s="143">
        <v>3</v>
      </c>
    </row>
    <row r="433" spans="2:8" ht="17.5" customHeight="1">
      <c r="B433" s="105" t="s">
        <v>479</v>
      </c>
      <c r="C433" s="143">
        <v>3</v>
      </c>
      <c r="D433" s="143">
        <v>3</v>
      </c>
      <c r="E433" s="143">
        <v>3</v>
      </c>
      <c r="F433" s="143">
        <v>2</v>
      </c>
      <c r="G433" s="143">
        <v>2</v>
      </c>
      <c r="H433" s="143">
        <v>2</v>
      </c>
    </row>
    <row r="434" spans="2:8" ht="17.5" customHeight="1">
      <c r="B434" s="81" t="s">
        <v>265</v>
      </c>
      <c r="C434" s="17"/>
      <c r="D434" s="17"/>
      <c r="E434" s="17"/>
      <c r="F434" s="17"/>
      <c r="G434" s="17"/>
    </row>
    <row r="435" spans="2:8" ht="17.5" customHeight="1">
      <c r="B435" s="100"/>
      <c r="C435" s="17"/>
      <c r="D435" s="17"/>
      <c r="E435" s="17"/>
      <c r="F435" s="17"/>
      <c r="G435" s="17"/>
    </row>
    <row r="436" spans="2:8" ht="17.5" customHeight="1">
      <c r="B436" s="48" t="s">
        <v>522</v>
      </c>
      <c r="C436" s="17"/>
      <c r="D436" s="17"/>
      <c r="E436" s="17"/>
      <c r="F436" s="17"/>
      <c r="G436" s="17"/>
    </row>
    <row r="437" spans="2:8" ht="17.5" customHeight="1">
      <c r="B437" s="527" t="s">
        <v>520</v>
      </c>
      <c r="C437" s="523">
        <v>2017</v>
      </c>
      <c r="D437" s="523">
        <v>2018</v>
      </c>
      <c r="E437" s="523">
        <v>2019</v>
      </c>
      <c r="F437" s="523" t="s">
        <v>335</v>
      </c>
      <c r="G437" s="523" t="s">
        <v>256</v>
      </c>
      <c r="H437" s="523" t="s">
        <v>257</v>
      </c>
    </row>
    <row r="438" spans="2:8" ht="17.5" customHeight="1">
      <c r="B438" s="96" t="s">
        <v>521</v>
      </c>
      <c r="C438" s="524">
        <v>86607</v>
      </c>
      <c r="D438" s="524">
        <v>103993</v>
      </c>
      <c r="E438" s="524">
        <v>119279</v>
      </c>
      <c r="F438" s="524">
        <v>174905</v>
      </c>
      <c r="G438" s="524">
        <v>195061</v>
      </c>
      <c r="H438" s="536">
        <v>244854</v>
      </c>
    </row>
    <row r="439" spans="2:8" ht="17.5" customHeight="1">
      <c r="B439" s="76" t="s">
        <v>477</v>
      </c>
      <c r="C439" s="525">
        <v>11763</v>
      </c>
      <c r="D439" s="525">
        <v>13780</v>
      </c>
      <c r="E439" s="525">
        <v>15565</v>
      </c>
      <c r="F439" s="525">
        <v>40357</v>
      </c>
      <c r="G439" s="525">
        <v>50544</v>
      </c>
      <c r="H439" s="537">
        <v>68235</v>
      </c>
    </row>
    <row r="440" spans="2:8" ht="17.5" customHeight="1">
      <c r="B440" s="76" t="s">
        <v>478</v>
      </c>
      <c r="C440" s="525">
        <v>31513</v>
      </c>
      <c r="D440" s="525">
        <v>37802</v>
      </c>
      <c r="E440" s="525">
        <v>39551</v>
      </c>
      <c r="F440" s="525">
        <v>59304</v>
      </c>
      <c r="G440" s="525">
        <v>72136</v>
      </c>
      <c r="H440" s="537">
        <v>94757</v>
      </c>
    </row>
    <row r="441" spans="2:8" ht="17.5" customHeight="1">
      <c r="B441" s="76" t="s">
        <v>479</v>
      </c>
      <c r="C441" s="525">
        <v>43331</v>
      </c>
      <c r="D441" s="525">
        <v>52411</v>
      </c>
      <c r="E441" s="525">
        <v>64163</v>
      </c>
      <c r="F441" s="525">
        <v>75244</v>
      </c>
      <c r="G441" s="525">
        <v>72381</v>
      </c>
      <c r="H441" s="537">
        <v>81862</v>
      </c>
    </row>
    <row r="442" spans="2:8" ht="17.5" customHeight="1">
      <c r="B442" s="96" t="s">
        <v>523</v>
      </c>
      <c r="C442" s="107">
        <v>3</v>
      </c>
      <c r="D442" s="107">
        <v>2</v>
      </c>
      <c r="E442" s="107">
        <v>2</v>
      </c>
      <c r="F442" s="107">
        <v>2</v>
      </c>
      <c r="G442" s="107">
        <v>2</v>
      </c>
      <c r="H442" s="379">
        <v>2</v>
      </c>
    </row>
    <row r="443" spans="2:8" ht="17.5" customHeight="1">
      <c r="B443" s="76" t="s">
        <v>477</v>
      </c>
      <c r="C443" s="32">
        <v>3</v>
      </c>
      <c r="D443" s="32">
        <v>2</v>
      </c>
      <c r="E443" s="32">
        <v>3</v>
      </c>
      <c r="F443" s="32">
        <v>2</v>
      </c>
      <c r="G443" s="32">
        <v>2</v>
      </c>
      <c r="H443" s="378">
        <v>3</v>
      </c>
    </row>
    <row r="444" spans="2:8" ht="17.5" customHeight="1">
      <c r="B444" s="76" t="s">
        <v>478</v>
      </c>
      <c r="C444" s="32">
        <v>3</v>
      </c>
      <c r="D444" s="32">
        <v>3</v>
      </c>
      <c r="E444" s="32">
        <v>2</v>
      </c>
      <c r="F444" s="32">
        <v>2</v>
      </c>
      <c r="G444" s="32">
        <v>2</v>
      </c>
      <c r="H444" s="378">
        <v>3</v>
      </c>
    </row>
    <row r="445" spans="2:8" ht="17.5" customHeight="1">
      <c r="B445" s="76" t="s">
        <v>479</v>
      </c>
      <c r="C445" s="32">
        <v>2</v>
      </c>
      <c r="D445" s="32">
        <v>2</v>
      </c>
      <c r="E445" s="32">
        <v>2</v>
      </c>
      <c r="F445" s="32">
        <v>1</v>
      </c>
      <c r="G445" s="32">
        <v>1</v>
      </c>
      <c r="H445" s="384">
        <v>1</v>
      </c>
    </row>
    <row r="446" spans="2:8" ht="17.5" customHeight="1">
      <c r="B446" s="81" t="s">
        <v>265</v>
      </c>
      <c r="C446" s="17"/>
      <c r="D446" s="17"/>
      <c r="E446" s="17"/>
      <c r="F446" s="17"/>
      <c r="G446" s="17"/>
    </row>
    <row r="448" spans="2:8" ht="17.5" customHeight="1">
      <c r="B448" s="48" t="s">
        <v>524</v>
      </c>
      <c r="C448" s="17"/>
      <c r="D448" s="17"/>
      <c r="E448" s="17"/>
      <c r="F448" s="17"/>
      <c r="G448" s="17"/>
    </row>
    <row r="449" spans="2:8" ht="17.5" customHeight="1">
      <c r="B449" s="527" t="s">
        <v>408</v>
      </c>
      <c r="C449" s="523">
        <v>2017</v>
      </c>
      <c r="D449" s="523">
        <v>2018</v>
      </c>
      <c r="E449" s="523">
        <v>2019</v>
      </c>
      <c r="F449" s="523" t="s">
        <v>335</v>
      </c>
      <c r="G449" s="523" t="s">
        <v>256</v>
      </c>
      <c r="H449" s="523" t="s">
        <v>257</v>
      </c>
    </row>
    <row r="450" spans="2:8" ht="17.5" customHeight="1">
      <c r="B450" s="96" t="s">
        <v>521</v>
      </c>
      <c r="C450" s="524">
        <v>534700</v>
      </c>
      <c r="D450" s="524">
        <v>529285</v>
      </c>
      <c r="E450" s="524">
        <v>539277</v>
      </c>
      <c r="F450" s="524">
        <v>876638</v>
      </c>
      <c r="G450" s="524">
        <v>1184099</v>
      </c>
      <c r="H450" s="524">
        <v>1181071</v>
      </c>
    </row>
    <row r="451" spans="2:8" ht="17.5" customHeight="1">
      <c r="B451" s="76" t="s">
        <v>409</v>
      </c>
      <c r="C451" s="525">
        <v>156318</v>
      </c>
      <c r="D451" s="525">
        <v>153863</v>
      </c>
      <c r="E451" s="525">
        <v>155806</v>
      </c>
      <c r="F451" s="525">
        <v>332587</v>
      </c>
      <c r="G451" s="525">
        <v>461714</v>
      </c>
      <c r="H451" s="525">
        <v>459822</v>
      </c>
    </row>
    <row r="452" spans="2:8" ht="17.5" customHeight="1">
      <c r="B452" s="76" t="s">
        <v>410</v>
      </c>
      <c r="C452" s="525">
        <v>332134</v>
      </c>
      <c r="D452" s="525">
        <v>322784</v>
      </c>
      <c r="E452" s="525">
        <v>326896</v>
      </c>
      <c r="F452" s="525">
        <v>466501</v>
      </c>
      <c r="G452" s="525">
        <v>632153</v>
      </c>
      <c r="H452" s="525">
        <v>614742</v>
      </c>
    </row>
    <row r="453" spans="2:8" ht="17.5" customHeight="1">
      <c r="B453" s="76" t="s">
        <v>411</v>
      </c>
      <c r="C453" s="525">
        <v>46248</v>
      </c>
      <c r="D453" s="525">
        <v>52638</v>
      </c>
      <c r="E453" s="525">
        <v>56575</v>
      </c>
      <c r="F453" s="525">
        <v>77550</v>
      </c>
      <c r="G453" s="525">
        <v>90232</v>
      </c>
      <c r="H453" s="525">
        <v>106507</v>
      </c>
    </row>
    <row r="454" spans="2:8" ht="17.5" customHeight="1">
      <c r="B454" s="96" t="s">
        <v>525</v>
      </c>
      <c r="C454" s="107">
        <v>5</v>
      </c>
      <c r="D454" s="107">
        <v>5</v>
      </c>
      <c r="E454" s="107">
        <v>5</v>
      </c>
      <c r="F454" s="107">
        <v>3</v>
      </c>
      <c r="G454" s="107">
        <v>2</v>
      </c>
      <c r="H454" s="107">
        <v>2</v>
      </c>
    </row>
    <row r="455" spans="2:8" ht="17.5" customHeight="1">
      <c r="B455" s="76" t="s">
        <v>409</v>
      </c>
      <c r="C455" s="32">
        <v>5</v>
      </c>
      <c r="D455" s="32">
        <v>5</v>
      </c>
      <c r="E455" s="32">
        <v>5</v>
      </c>
      <c r="F455" s="32">
        <v>3</v>
      </c>
      <c r="G455" s="32">
        <v>2</v>
      </c>
      <c r="H455" s="32">
        <v>2</v>
      </c>
    </row>
    <row r="456" spans="2:8" ht="17.5" customHeight="1">
      <c r="B456" s="76" t="s">
        <v>410</v>
      </c>
      <c r="C456" s="32">
        <v>5</v>
      </c>
      <c r="D456" s="32">
        <v>5</v>
      </c>
      <c r="E456" s="32">
        <v>5</v>
      </c>
      <c r="F456" s="32">
        <v>3</v>
      </c>
      <c r="G456" s="32">
        <v>2</v>
      </c>
      <c r="H456" s="32">
        <v>2</v>
      </c>
    </row>
    <row r="457" spans="2:8" ht="17.5" customHeight="1">
      <c r="B457" s="76" t="s">
        <v>411</v>
      </c>
      <c r="C457" s="32">
        <v>2</v>
      </c>
      <c r="D457" s="32">
        <v>2</v>
      </c>
      <c r="E457" s="32">
        <v>2</v>
      </c>
      <c r="F457" s="32">
        <v>2</v>
      </c>
      <c r="G457" s="32">
        <v>2</v>
      </c>
      <c r="H457" s="32">
        <v>2</v>
      </c>
    </row>
    <row r="458" spans="2:8" ht="17.5" customHeight="1">
      <c r="B458" s="81" t="s">
        <v>265</v>
      </c>
      <c r="C458" s="17"/>
      <c r="D458" s="17"/>
      <c r="E458" s="17"/>
      <c r="F458" s="17"/>
      <c r="G458" s="17"/>
    </row>
    <row r="459" spans="2:8" ht="17.5" customHeight="1">
      <c r="B459" s="86"/>
      <c r="C459" s="17"/>
      <c r="D459" s="17"/>
      <c r="E459" s="17"/>
      <c r="F459" s="17"/>
      <c r="G459" s="17"/>
    </row>
    <row r="460" spans="2:8" ht="29.25" customHeight="1">
      <c r="B460" s="48" t="s">
        <v>526</v>
      </c>
      <c r="C460" s="17"/>
      <c r="D460" s="17"/>
      <c r="E460" s="17"/>
      <c r="F460" s="17"/>
      <c r="G460" s="17"/>
    </row>
    <row r="461" spans="2:8" ht="17.5" customHeight="1">
      <c r="B461" s="527" t="s">
        <v>418</v>
      </c>
      <c r="C461" s="523">
        <v>2017</v>
      </c>
      <c r="D461" s="523">
        <v>2018</v>
      </c>
      <c r="E461" s="523">
        <v>2019</v>
      </c>
      <c r="F461" s="523" t="s">
        <v>335</v>
      </c>
      <c r="G461" s="523" t="s">
        <v>256</v>
      </c>
      <c r="H461" s="523" t="s">
        <v>257</v>
      </c>
    </row>
    <row r="462" spans="2:8" ht="17.5" customHeight="1">
      <c r="B462" s="74" t="s">
        <v>521</v>
      </c>
      <c r="C462" s="79">
        <v>266651</v>
      </c>
      <c r="D462" s="79">
        <v>272285</v>
      </c>
      <c r="E462" s="79">
        <v>289342</v>
      </c>
      <c r="F462" s="79">
        <v>371751</v>
      </c>
      <c r="G462" s="79">
        <v>376958</v>
      </c>
      <c r="H462" s="79">
        <v>382580</v>
      </c>
    </row>
    <row r="463" spans="2:8" ht="17.5" customHeight="1">
      <c r="B463" s="76" t="s">
        <v>409</v>
      </c>
      <c r="C463" s="525">
        <v>81253</v>
      </c>
      <c r="D463" s="525">
        <v>87023</v>
      </c>
      <c r="E463" s="525">
        <v>89849</v>
      </c>
      <c r="F463" s="525">
        <v>127667</v>
      </c>
      <c r="G463" s="525">
        <v>130961</v>
      </c>
      <c r="H463" s="525">
        <v>135608</v>
      </c>
    </row>
    <row r="464" spans="2:8" ht="17.5" customHeight="1">
      <c r="B464" s="76" t="s">
        <v>410</v>
      </c>
      <c r="C464" s="525">
        <v>144423</v>
      </c>
      <c r="D464" s="525">
        <v>146608</v>
      </c>
      <c r="E464" s="525">
        <v>151054</v>
      </c>
      <c r="F464" s="525">
        <v>187133</v>
      </c>
      <c r="G464" s="525">
        <v>212040</v>
      </c>
      <c r="H464" s="525">
        <v>209608</v>
      </c>
    </row>
    <row r="465" spans="2:8" ht="17.5" customHeight="1">
      <c r="B465" s="76" t="s">
        <v>411</v>
      </c>
      <c r="C465" s="525">
        <v>40975</v>
      </c>
      <c r="D465" s="525">
        <v>38654</v>
      </c>
      <c r="E465" s="525">
        <v>48439</v>
      </c>
      <c r="F465" s="525">
        <v>56951</v>
      </c>
      <c r="G465" s="525">
        <v>33957</v>
      </c>
      <c r="H465" s="525">
        <v>37364</v>
      </c>
    </row>
    <row r="466" spans="2:8" ht="17.5" customHeight="1">
      <c r="B466" s="74" t="s">
        <v>527</v>
      </c>
      <c r="C466" s="75">
        <v>2</v>
      </c>
      <c r="D466" s="75">
        <v>2</v>
      </c>
      <c r="E466" s="75">
        <v>3</v>
      </c>
      <c r="F466" s="75">
        <v>2</v>
      </c>
      <c r="G466" s="75">
        <v>2</v>
      </c>
      <c r="H466" s="75">
        <v>2</v>
      </c>
    </row>
    <row r="467" spans="2:8" ht="17.5" customHeight="1">
      <c r="B467" s="76" t="s">
        <v>409</v>
      </c>
      <c r="C467" s="32">
        <v>2</v>
      </c>
      <c r="D467" s="32">
        <v>2</v>
      </c>
      <c r="E467" s="32">
        <v>3</v>
      </c>
      <c r="F467" s="32">
        <v>2</v>
      </c>
      <c r="G467" s="32">
        <v>2</v>
      </c>
      <c r="H467" s="32">
        <v>2</v>
      </c>
    </row>
    <row r="468" spans="2:8" ht="17.5" customHeight="1">
      <c r="B468" s="76" t="s">
        <v>410</v>
      </c>
      <c r="C468" s="32">
        <v>2</v>
      </c>
      <c r="D468" s="32">
        <v>2</v>
      </c>
      <c r="E468" s="32">
        <v>3</v>
      </c>
      <c r="F468" s="32">
        <v>2</v>
      </c>
      <c r="G468" s="32">
        <v>2</v>
      </c>
      <c r="H468" s="32">
        <v>2</v>
      </c>
    </row>
    <row r="469" spans="2:8" ht="17.5" customHeight="1">
      <c r="B469" s="76" t="s">
        <v>411</v>
      </c>
      <c r="C469" s="32">
        <v>2</v>
      </c>
      <c r="D469" s="32">
        <v>2</v>
      </c>
      <c r="E469" s="32">
        <v>2</v>
      </c>
      <c r="F469" s="32">
        <v>2</v>
      </c>
      <c r="G469" s="32">
        <v>2</v>
      </c>
      <c r="H469" s="32">
        <v>1</v>
      </c>
    </row>
    <row r="470" spans="2:8" ht="17.5" customHeight="1">
      <c r="B470" s="81" t="s">
        <v>265</v>
      </c>
      <c r="C470" s="17"/>
      <c r="D470" s="17"/>
      <c r="E470" s="17"/>
      <c r="F470" s="17"/>
      <c r="G470" s="17"/>
    </row>
    <row r="472" spans="2:8" ht="17.5" customHeight="1">
      <c r="B472" s="48" t="s">
        <v>528</v>
      </c>
      <c r="C472" s="17"/>
      <c r="D472" s="17"/>
      <c r="E472" s="17"/>
      <c r="F472" s="17"/>
      <c r="G472" s="17"/>
    </row>
    <row r="473" spans="2:8" ht="17.5" customHeight="1">
      <c r="B473" s="527" t="s">
        <v>418</v>
      </c>
      <c r="C473" s="523">
        <v>2017</v>
      </c>
      <c r="D473" s="523">
        <v>2018</v>
      </c>
      <c r="E473" s="523">
        <v>2019</v>
      </c>
      <c r="F473" s="523" t="s">
        <v>335</v>
      </c>
      <c r="G473" s="523" t="s">
        <v>256</v>
      </c>
      <c r="H473" s="523" t="s">
        <v>257</v>
      </c>
    </row>
    <row r="474" spans="2:8" ht="17.5" customHeight="1">
      <c r="B474" s="96" t="s">
        <v>521</v>
      </c>
      <c r="C474" s="524">
        <v>44414</v>
      </c>
      <c r="D474" s="524">
        <v>43255</v>
      </c>
      <c r="E474" s="524">
        <v>47645</v>
      </c>
      <c r="F474" s="524">
        <v>56053</v>
      </c>
      <c r="G474" s="524">
        <v>79838</v>
      </c>
      <c r="H474" s="524">
        <v>81721</v>
      </c>
    </row>
    <row r="475" spans="2:8" ht="17.5" customHeight="1">
      <c r="B475" s="76" t="s">
        <v>409</v>
      </c>
      <c r="C475" s="525">
        <v>10232</v>
      </c>
      <c r="D475" s="525">
        <v>10900</v>
      </c>
      <c r="E475" s="525">
        <v>11892</v>
      </c>
      <c r="F475" s="525">
        <v>14525</v>
      </c>
      <c r="G475" s="525">
        <v>25914</v>
      </c>
      <c r="H475" s="525">
        <v>27886</v>
      </c>
    </row>
    <row r="476" spans="2:8" ht="17.5" customHeight="1">
      <c r="B476" s="76" t="s">
        <v>410</v>
      </c>
      <c r="C476" s="525">
        <v>6326</v>
      </c>
      <c r="D476" s="525">
        <v>6542</v>
      </c>
      <c r="E476" s="525">
        <v>7034</v>
      </c>
      <c r="F476" s="525">
        <v>8222</v>
      </c>
      <c r="G476" s="525">
        <v>16184</v>
      </c>
      <c r="H476" s="525">
        <v>17238</v>
      </c>
    </row>
    <row r="477" spans="2:8" ht="17.5" customHeight="1">
      <c r="B477" s="76" t="s">
        <v>411</v>
      </c>
      <c r="C477" s="525">
        <v>27856</v>
      </c>
      <c r="D477" s="525">
        <v>25813</v>
      </c>
      <c r="E477" s="525">
        <v>28719</v>
      </c>
      <c r="F477" s="525">
        <v>33306</v>
      </c>
      <c r="G477" s="525">
        <v>37740</v>
      </c>
      <c r="H477" s="525">
        <v>36597</v>
      </c>
    </row>
    <row r="478" spans="2:8" ht="17.5" customHeight="1">
      <c r="B478" s="96" t="s">
        <v>529</v>
      </c>
      <c r="C478" s="107">
        <v>2</v>
      </c>
      <c r="D478" s="107">
        <v>2</v>
      </c>
      <c r="E478" s="107">
        <v>2</v>
      </c>
      <c r="F478" s="107">
        <v>2</v>
      </c>
      <c r="G478" s="107">
        <v>1</v>
      </c>
      <c r="H478" s="107">
        <v>1</v>
      </c>
    </row>
    <row r="479" spans="2:8" ht="17.5" customHeight="1">
      <c r="B479" s="76" t="s">
        <v>409</v>
      </c>
      <c r="C479" s="32">
        <v>3</v>
      </c>
      <c r="D479" s="32">
        <v>2</v>
      </c>
      <c r="E479" s="32">
        <v>2</v>
      </c>
      <c r="F479" s="32">
        <v>2</v>
      </c>
      <c r="G479" s="32">
        <v>1</v>
      </c>
      <c r="H479" s="32">
        <v>1</v>
      </c>
    </row>
    <row r="480" spans="2:8" ht="17.5" customHeight="1">
      <c r="B480" s="76" t="s">
        <v>410</v>
      </c>
      <c r="C480" s="32">
        <v>2</v>
      </c>
      <c r="D480" s="32">
        <v>2</v>
      </c>
      <c r="E480" s="32">
        <v>2</v>
      </c>
      <c r="F480" s="32">
        <v>2</v>
      </c>
      <c r="G480" s="32">
        <v>1</v>
      </c>
      <c r="H480" s="32">
        <v>1</v>
      </c>
    </row>
    <row r="481" spans="2:8" ht="17.5" customHeight="1">
      <c r="B481" s="76" t="s">
        <v>411</v>
      </c>
      <c r="C481" s="32">
        <v>2</v>
      </c>
      <c r="D481" s="32">
        <v>2</v>
      </c>
      <c r="E481" s="32">
        <v>2</v>
      </c>
      <c r="F481" s="32">
        <v>1</v>
      </c>
      <c r="G481" s="32">
        <v>1</v>
      </c>
      <c r="H481" s="32">
        <v>1</v>
      </c>
    </row>
    <row r="482" spans="2:8" ht="17.5" customHeight="1">
      <c r="B482" s="81" t="s">
        <v>265</v>
      </c>
      <c r="C482" s="17"/>
      <c r="D482" s="17"/>
      <c r="E482" s="17"/>
      <c r="F482" s="17"/>
      <c r="G482" s="17"/>
    </row>
    <row r="484" spans="2:8" ht="17.5" customHeight="1">
      <c r="B484" s="48" t="s">
        <v>530</v>
      </c>
      <c r="C484" s="17"/>
      <c r="D484" s="17"/>
      <c r="E484" s="17"/>
      <c r="F484" s="17"/>
      <c r="G484" s="17"/>
    </row>
    <row r="485" spans="2:8" ht="17.5" customHeight="1">
      <c r="B485" s="62" t="s">
        <v>428</v>
      </c>
      <c r="C485" s="526">
        <v>2017</v>
      </c>
      <c r="D485" s="526">
        <v>2018</v>
      </c>
      <c r="E485" s="526">
        <v>2019</v>
      </c>
      <c r="F485" s="526" t="s">
        <v>335</v>
      </c>
      <c r="G485" s="526" t="s">
        <v>256</v>
      </c>
      <c r="H485" s="526" t="s">
        <v>257</v>
      </c>
    </row>
    <row r="486" spans="2:8" ht="17.5" customHeight="1">
      <c r="B486" s="30" t="s">
        <v>531</v>
      </c>
      <c r="C486" s="31">
        <v>35183</v>
      </c>
      <c r="D486" s="31">
        <v>35261</v>
      </c>
      <c r="E486" s="31">
        <v>40778</v>
      </c>
      <c r="F486" s="31">
        <v>44804</v>
      </c>
      <c r="G486" s="31">
        <v>44536</v>
      </c>
      <c r="H486" s="534">
        <v>46833</v>
      </c>
    </row>
    <row r="487" spans="2:8" ht="17.5" customHeight="1">
      <c r="B487" s="64" t="s">
        <v>409</v>
      </c>
      <c r="C487" s="65">
        <v>7760</v>
      </c>
      <c r="D487" s="65">
        <v>8576</v>
      </c>
      <c r="E487" s="65">
        <v>10640</v>
      </c>
      <c r="F487" s="65">
        <v>13190</v>
      </c>
      <c r="G487" s="65">
        <v>15212</v>
      </c>
      <c r="H487" s="535">
        <v>15975</v>
      </c>
    </row>
    <row r="488" spans="2:8" ht="17.5" customHeight="1">
      <c r="B488" s="64" t="s">
        <v>410</v>
      </c>
      <c r="C488" s="65">
        <v>19489</v>
      </c>
      <c r="D488" s="65">
        <v>21715</v>
      </c>
      <c r="E488" s="65">
        <v>22287</v>
      </c>
      <c r="F488" s="65">
        <v>25827</v>
      </c>
      <c r="G488" s="65">
        <v>25877</v>
      </c>
      <c r="H488" s="535">
        <v>28727</v>
      </c>
    </row>
    <row r="489" spans="2:8" ht="17.5" customHeight="1">
      <c r="B489" s="64" t="s">
        <v>411</v>
      </c>
      <c r="C489" s="65">
        <v>7934</v>
      </c>
      <c r="D489" s="65">
        <v>4970</v>
      </c>
      <c r="E489" s="65">
        <v>7851</v>
      </c>
      <c r="F489" s="65">
        <v>5787</v>
      </c>
      <c r="G489" s="65">
        <v>3447</v>
      </c>
      <c r="H489" s="535">
        <v>2131</v>
      </c>
    </row>
    <row r="490" spans="2:8" ht="17.5" customHeight="1">
      <c r="B490" s="30" t="s">
        <v>532</v>
      </c>
      <c r="C490" s="119">
        <v>4</v>
      </c>
      <c r="D490" s="119">
        <v>4</v>
      </c>
      <c r="E490" s="119">
        <v>3</v>
      </c>
      <c r="F490" s="119">
        <v>3</v>
      </c>
      <c r="G490" s="119">
        <v>3</v>
      </c>
      <c r="H490" s="439">
        <v>2</v>
      </c>
    </row>
    <row r="491" spans="2:8" ht="17.5" customHeight="1">
      <c r="B491" s="64" t="s">
        <v>409</v>
      </c>
      <c r="C491" s="33">
        <v>6</v>
      </c>
      <c r="D491" s="33">
        <v>4</v>
      </c>
      <c r="E491" s="33">
        <v>4</v>
      </c>
      <c r="F491" s="33">
        <v>4</v>
      </c>
      <c r="G491" s="33">
        <v>4</v>
      </c>
      <c r="H491" s="440">
        <v>3</v>
      </c>
    </row>
    <row r="492" spans="2:8" ht="17.5" customHeight="1">
      <c r="B492" s="64" t="s">
        <v>410</v>
      </c>
      <c r="C492" s="33">
        <v>4</v>
      </c>
      <c r="D492" s="33">
        <v>3</v>
      </c>
      <c r="E492" s="33">
        <v>3</v>
      </c>
      <c r="F492" s="33">
        <v>2</v>
      </c>
      <c r="G492" s="33">
        <v>2</v>
      </c>
      <c r="H492" s="440">
        <v>2</v>
      </c>
    </row>
    <row r="493" spans="2:8" ht="17.5" customHeight="1">
      <c r="B493" s="64" t="s">
        <v>411</v>
      </c>
      <c r="C493" s="33">
        <v>4</v>
      </c>
      <c r="D493" s="33">
        <v>4</v>
      </c>
      <c r="E493" s="33">
        <v>3</v>
      </c>
      <c r="F493" s="33">
        <v>2</v>
      </c>
      <c r="G493" s="33">
        <v>2</v>
      </c>
      <c r="H493" s="440">
        <v>2</v>
      </c>
    </row>
    <row r="494" spans="2:8" ht="17.5" customHeight="1">
      <c r="B494" s="81" t="s">
        <v>265</v>
      </c>
      <c r="C494" s="17"/>
      <c r="D494" s="17"/>
      <c r="E494" s="17"/>
      <c r="F494" s="17"/>
      <c r="G494" s="17"/>
    </row>
    <row r="495" spans="2:8" ht="17.5" customHeight="1">
      <c r="B495" s="100"/>
      <c r="C495" s="17"/>
      <c r="D495" s="17"/>
      <c r="E495" s="17"/>
      <c r="F495" s="17"/>
      <c r="G495" s="17"/>
    </row>
    <row r="496" spans="2:8" ht="17.5" customHeight="1">
      <c r="B496" s="101" t="s">
        <v>533</v>
      </c>
      <c r="C496" s="17"/>
      <c r="D496" s="17"/>
      <c r="E496" s="17"/>
      <c r="F496" s="17"/>
      <c r="G496" s="17"/>
    </row>
    <row r="498" spans="2:5" ht="17.5" customHeight="1">
      <c r="B498" s="49" t="s">
        <v>534</v>
      </c>
      <c r="C498" s="17"/>
      <c r="D498" s="17"/>
      <c r="E498" s="17"/>
    </row>
    <row r="499" spans="2:5" ht="31">
      <c r="B499" s="145" t="s">
        <v>535</v>
      </c>
      <c r="C499" s="146" t="s">
        <v>536</v>
      </c>
      <c r="D499" s="146" t="s">
        <v>537</v>
      </c>
      <c r="E499" s="146" t="s">
        <v>538</v>
      </c>
    </row>
    <row r="500" spans="2:5" ht="17.5" customHeight="1">
      <c r="B500" s="76" t="s">
        <v>539</v>
      </c>
      <c r="C500" s="32" t="s">
        <v>540</v>
      </c>
      <c r="D500" s="35" t="s">
        <v>541</v>
      </c>
      <c r="E500" s="110" t="s">
        <v>542</v>
      </c>
    </row>
    <row r="501" spans="2:5" ht="17.5" customHeight="1">
      <c r="B501" s="76" t="s">
        <v>543</v>
      </c>
      <c r="C501" s="32" t="s">
        <v>544</v>
      </c>
      <c r="D501" s="35" t="s">
        <v>545</v>
      </c>
      <c r="E501" s="110" t="s">
        <v>546</v>
      </c>
    </row>
    <row r="502" spans="2:5" ht="17.5" customHeight="1">
      <c r="B502" s="76" t="s">
        <v>547</v>
      </c>
      <c r="C502" s="32" t="s">
        <v>548</v>
      </c>
      <c r="D502" s="35" t="s">
        <v>549</v>
      </c>
      <c r="E502" s="110" t="s">
        <v>550</v>
      </c>
    </row>
    <row r="503" spans="2:5" ht="17.5" customHeight="1">
      <c r="B503" s="76" t="s">
        <v>551</v>
      </c>
      <c r="C503" s="32" t="s">
        <v>552</v>
      </c>
      <c r="D503" s="35" t="s">
        <v>553</v>
      </c>
      <c r="E503" s="110" t="s">
        <v>554</v>
      </c>
    </row>
    <row r="504" spans="2:5" ht="17.5" customHeight="1">
      <c r="B504" s="76" t="s">
        <v>555</v>
      </c>
      <c r="C504" s="32" t="s">
        <v>556</v>
      </c>
      <c r="D504" s="35" t="s">
        <v>557</v>
      </c>
      <c r="E504" s="110" t="s">
        <v>558</v>
      </c>
    </row>
    <row r="505" spans="2:5" ht="17.5" customHeight="1">
      <c r="B505" s="76" t="s">
        <v>559</v>
      </c>
      <c r="C505" s="32" t="s">
        <v>560</v>
      </c>
      <c r="D505" s="35" t="s">
        <v>561</v>
      </c>
      <c r="E505" s="110" t="s">
        <v>562</v>
      </c>
    </row>
    <row r="506" spans="2:5" ht="17.5" customHeight="1">
      <c r="B506" s="76" t="s">
        <v>563</v>
      </c>
      <c r="C506" s="32" t="s">
        <v>564</v>
      </c>
      <c r="D506" s="35" t="s">
        <v>565</v>
      </c>
      <c r="E506" s="110" t="s">
        <v>566</v>
      </c>
    </row>
    <row r="507" spans="2:5" ht="17.5" customHeight="1">
      <c r="B507" s="76" t="s">
        <v>567</v>
      </c>
      <c r="C507" s="32" t="s">
        <v>568</v>
      </c>
      <c r="D507" s="35" t="s">
        <v>569</v>
      </c>
      <c r="E507" s="110" t="s">
        <v>570</v>
      </c>
    </row>
    <row r="508" spans="2:5" ht="17.5" customHeight="1">
      <c r="B508" s="76" t="s">
        <v>571</v>
      </c>
      <c r="C508" s="32" t="s">
        <v>572</v>
      </c>
      <c r="D508" s="35" t="s">
        <v>573</v>
      </c>
      <c r="E508" s="110" t="s">
        <v>574</v>
      </c>
    </row>
    <row r="509" spans="2:5" ht="17.5" customHeight="1">
      <c r="B509" s="76" t="s">
        <v>575</v>
      </c>
      <c r="C509" s="32" t="s">
        <v>576</v>
      </c>
      <c r="D509" s="35" t="s">
        <v>577</v>
      </c>
      <c r="E509" s="110" t="s">
        <v>578</v>
      </c>
    </row>
    <row r="510" spans="2:5" ht="17.5" customHeight="1">
      <c r="B510" s="76" t="s">
        <v>579</v>
      </c>
      <c r="C510" s="32" t="s">
        <v>580</v>
      </c>
      <c r="D510" s="35" t="s">
        <v>581</v>
      </c>
      <c r="E510" s="110" t="s">
        <v>582</v>
      </c>
    </row>
    <row r="511" spans="2:5" ht="17.5" customHeight="1">
      <c r="B511" s="76" t="s">
        <v>583</v>
      </c>
      <c r="C511" s="32" t="s">
        <v>584</v>
      </c>
      <c r="D511" s="35" t="s">
        <v>585</v>
      </c>
      <c r="E511" s="110" t="s">
        <v>586</v>
      </c>
    </row>
    <row r="512" spans="2:5" ht="17.5" customHeight="1">
      <c r="B512" s="76" t="s">
        <v>587</v>
      </c>
      <c r="C512" s="32" t="s">
        <v>588</v>
      </c>
      <c r="D512" s="35" t="s">
        <v>589</v>
      </c>
      <c r="E512" s="110" t="s">
        <v>590</v>
      </c>
    </row>
    <row r="513" spans="2:6" ht="17.5" customHeight="1">
      <c r="B513" s="76" t="s">
        <v>591</v>
      </c>
      <c r="C513" s="32" t="s">
        <v>592</v>
      </c>
      <c r="D513" s="35" t="s">
        <v>593</v>
      </c>
      <c r="E513" s="110" t="s">
        <v>594</v>
      </c>
    </row>
    <row r="514" spans="2:6" ht="17.5" customHeight="1">
      <c r="B514" s="76" t="s">
        <v>595</v>
      </c>
      <c r="C514" s="32" t="s">
        <v>596</v>
      </c>
      <c r="D514" s="35" t="s">
        <v>597</v>
      </c>
      <c r="E514" s="110" t="s">
        <v>598</v>
      </c>
    </row>
    <row r="515" spans="2:6" ht="17.5" customHeight="1">
      <c r="B515" s="76" t="s">
        <v>599</v>
      </c>
      <c r="C515" s="32" t="s">
        <v>472</v>
      </c>
      <c r="D515" s="35" t="s">
        <v>600</v>
      </c>
      <c r="E515" s="110" t="s">
        <v>601</v>
      </c>
    </row>
    <row r="516" spans="2:6" ht="17.5" customHeight="1">
      <c r="B516" s="76" t="s">
        <v>602</v>
      </c>
      <c r="C516" s="32" t="s">
        <v>603</v>
      </c>
      <c r="D516" s="35" t="s">
        <v>604</v>
      </c>
      <c r="E516" s="110" t="s">
        <v>605</v>
      </c>
    </row>
    <row r="517" spans="2:6" ht="17.5" customHeight="1">
      <c r="B517" s="76" t="s">
        <v>606</v>
      </c>
      <c r="C517" s="32" t="s">
        <v>607</v>
      </c>
      <c r="D517" s="35" t="s">
        <v>608</v>
      </c>
      <c r="E517" s="110" t="s">
        <v>609</v>
      </c>
    </row>
    <row r="518" spans="2:6" ht="17.5" customHeight="1">
      <c r="B518" s="89" t="s">
        <v>265</v>
      </c>
      <c r="C518" s="17"/>
      <c r="D518" s="17"/>
      <c r="E518" s="17"/>
    </row>
    <row r="520" spans="2:6" ht="17.5" customHeight="1">
      <c r="B520" s="49" t="s">
        <v>610</v>
      </c>
      <c r="C520" s="17"/>
      <c r="D520" s="17"/>
      <c r="E520" s="17"/>
      <c r="F520" s="17"/>
    </row>
    <row r="521" spans="2:6" ht="17.5" customHeight="1">
      <c r="B521" s="138" t="s">
        <v>611</v>
      </c>
      <c r="C521" s="138" t="s">
        <v>612</v>
      </c>
      <c r="D521" s="138" t="s">
        <v>613</v>
      </c>
      <c r="E521" s="63" t="s">
        <v>614</v>
      </c>
      <c r="F521" s="63" t="s">
        <v>615</v>
      </c>
    </row>
    <row r="522" spans="2:6" ht="17.5" customHeight="1">
      <c r="B522" s="147" t="s">
        <v>616</v>
      </c>
      <c r="C522" s="592">
        <v>2612</v>
      </c>
      <c r="D522" s="592">
        <v>2146</v>
      </c>
      <c r="E522" s="593">
        <v>745</v>
      </c>
      <c r="F522" s="593">
        <v>10</v>
      </c>
    </row>
    <row r="523" spans="2:6" ht="17.5" customHeight="1">
      <c r="B523" s="150" t="s">
        <v>617</v>
      </c>
      <c r="C523" s="65">
        <v>2120</v>
      </c>
      <c r="D523" s="525">
        <v>1714</v>
      </c>
      <c r="E523" s="32">
        <v>438</v>
      </c>
      <c r="F523" s="33">
        <v>3</v>
      </c>
    </row>
    <row r="524" spans="2:6" ht="17.5" customHeight="1">
      <c r="B524" s="150" t="s">
        <v>618</v>
      </c>
      <c r="C524" s="65">
        <v>1123</v>
      </c>
      <c r="D524" s="525">
        <v>1241</v>
      </c>
      <c r="E524" s="32">
        <v>480</v>
      </c>
      <c r="F524" s="33">
        <v>7</v>
      </c>
    </row>
    <row r="525" spans="2:6" ht="17.5" customHeight="1">
      <c r="B525" s="150" t="s">
        <v>619</v>
      </c>
      <c r="C525" s="65">
        <v>1250</v>
      </c>
      <c r="D525" s="525">
        <v>1364</v>
      </c>
      <c r="E525" s="32">
        <v>553</v>
      </c>
      <c r="F525" s="33">
        <v>8</v>
      </c>
    </row>
    <row r="526" spans="2:6" ht="17.5" customHeight="1">
      <c r="B526" s="147" t="s">
        <v>620</v>
      </c>
      <c r="C526" s="592">
        <v>2311</v>
      </c>
      <c r="D526" s="592">
        <v>2777</v>
      </c>
      <c r="E526" s="592">
        <v>4178</v>
      </c>
      <c r="F526" s="592">
        <v>4913</v>
      </c>
    </row>
    <row r="527" spans="2:6" ht="17.5" customHeight="1">
      <c r="B527" s="150" t="s">
        <v>617</v>
      </c>
      <c r="C527" s="65">
        <v>1812</v>
      </c>
      <c r="D527" s="65">
        <v>2218</v>
      </c>
      <c r="E527" s="65">
        <v>3494</v>
      </c>
      <c r="F527" s="65">
        <v>3929</v>
      </c>
    </row>
    <row r="528" spans="2:6" ht="17.5" customHeight="1">
      <c r="B528" s="150" t="s">
        <v>618</v>
      </c>
      <c r="C528" s="65">
        <v>1105</v>
      </c>
      <c r="D528" s="33">
        <v>987</v>
      </c>
      <c r="E528" s="65">
        <v>1748</v>
      </c>
      <c r="F528" s="65">
        <v>2221</v>
      </c>
    </row>
    <row r="529" spans="2:6" ht="17.5" customHeight="1">
      <c r="B529" s="150" t="s">
        <v>619</v>
      </c>
      <c r="C529" s="33">
        <v>727</v>
      </c>
      <c r="D529" s="33">
        <v>613</v>
      </c>
      <c r="E529" s="65">
        <v>1424</v>
      </c>
      <c r="F529" s="65">
        <v>1969</v>
      </c>
    </row>
    <row r="530" spans="2:6" ht="17.5" customHeight="1">
      <c r="B530" s="147" t="s">
        <v>621</v>
      </c>
      <c r="C530" s="594">
        <v>0.53100000000000003</v>
      </c>
      <c r="D530" s="594">
        <v>0.436</v>
      </c>
      <c r="E530" s="594">
        <v>0.151</v>
      </c>
      <c r="F530" s="594">
        <v>2E-3</v>
      </c>
    </row>
    <row r="531" spans="2:6" ht="17.5" customHeight="1">
      <c r="B531" s="150" t="s">
        <v>617</v>
      </c>
      <c r="C531" s="99">
        <v>0.53900000000000003</v>
      </c>
      <c r="D531" s="99">
        <v>0.436</v>
      </c>
      <c r="E531" s="99">
        <v>0.111</v>
      </c>
      <c r="F531" s="99">
        <v>1E-3</v>
      </c>
    </row>
    <row r="532" spans="2:6" ht="17.5" customHeight="1">
      <c r="B532" s="150" t="s">
        <v>618</v>
      </c>
      <c r="C532" s="99">
        <v>0.504</v>
      </c>
      <c r="D532" s="99">
        <v>0.55700000000000005</v>
      </c>
      <c r="E532" s="99">
        <v>0.215</v>
      </c>
      <c r="F532" s="99">
        <v>3.0000000000000001E-3</v>
      </c>
    </row>
    <row r="533" spans="2:6" ht="17.5" customHeight="1">
      <c r="B533" s="150" t="s">
        <v>619</v>
      </c>
      <c r="C533" s="99">
        <v>0.63200000000000001</v>
      </c>
      <c r="D533" s="99">
        <v>0.69</v>
      </c>
      <c r="E533" s="99">
        <v>0.28000000000000003</v>
      </c>
      <c r="F533" s="99">
        <v>4.0000000000000001E-3</v>
      </c>
    </row>
    <row r="534" spans="2:6" ht="17.5" customHeight="1">
      <c r="B534" s="81" t="s">
        <v>265</v>
      </c>
      <c r="C534" s="17"/>
      <c r="D534" s="17"/>
      <c r="E534" s="17"/>
      <c r="F534" s="17"/>
    </row>
  </sheetData>
  <mergeCells count="2">
    <mergeCell ref="B268:C268"/>
    <mergeCell ref="B274:C274"/>
  </mergeCells>
  <conditionalFormatting sqref="B58:H60 C19:H19">
    <cfRule type="cellIs" dxfId="17" priority="6" operator="lessThan">
      <formula>0</formula>
    </cfRule>
  </conditionalFormatting>
  <conditionalFormatting sqref="B20:H20">
    <cfRule type="cellIs" dxfId="16" priority="5" operator="lessThan">
      <formula>0</formula>
    </cfRule>
  </conditionalFormatting>
  <conditionalFormatting sqref="B266:C266 C280:C282 C296">
    <cfRule type="cellIs" dxfId="15" priority="4" operator="lessThan">
      <formula>0</formula>
    </cfRule>
  </conditionalFormatting>
  <conditionalFormatting sqref="H162:H169">
    <cfRule type="cellIs" dxfId="1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239"/>
  <sheetViews>
    <sheetView showGridLines="0" tabSelected="1" topLeftCell="A166" zoomScale="85" zoomScaleNormal="85" workbookViewId="0">
      <selection activeCell="H173" sqref="H173"/>
    </sheetView>
  </sheetViews>
  <sheetFormatPr defaultColWidth="8.7265625" defaultRowHeight="15" customHeight="1"/>
  <cols>
    <col min="1" max="1" width="8.7265625" style="82"/>
    <col min="2" max="2" width="96.6328125" style="82" bestFit="1" customWidth="1"/>
    <col min="3" max="3" width="11.81640625" style="82" bestFit="1" customWidth="1"/>
    <col min="4" max="4" width="12.26953125" style="82" bestFit="1" customWidth="1"/>
    <col min="5" max="5" width="13.453125" style="82" bestFit="1" customWidth="1"/>
    <col min="6" max="7" width="14.26953125" style="82" bestFit="1" customWidth="1"/>
    <col min="8" max="8" width="14.26953125" style="333" bestFit="1" customWidth="1"/>
    <col min="9" max="9" width="15.54296875" style="82" customWidth="1"/>
    <col min="10" max="10" width="14.1796875" style="82" customWidth="1"/>
    <col min="11" max="11" width="12.54296875" style="82" customWidth="1"/>
    <col min="12" max="12" width="9.81640625" style="82" bestFit="1" customWidth="1"/>
    <col min="13" max="13" width="9.08984375" style="82" bestFit="1" customWidth="1"/>
    <col min="14" max="16384" width="8.7265625" style="82"/>
  </cols>
  <sheetData>
    <row r="2" spans="2:8" ht="15.5">
      <c r="B2" s="26" t="s">
        <v>43</v>
      </c>
    </row>
    <row r="3" spans="2:8" ht="15.5">
      <c r="B3" s="26"/>
    </row>
    <row r="4" spans="2:8" ht="15.5">
      <c r="B4" s="18" t="s">
        <v>44</v>
      </c>
      <c r="C4" s="27"/>
    </row>
    <row r="5" spans="2:8" ht="15.5">
      <c r="B5" s="170" t="s">
        <v>314</v>
      </c>
    </row>
    <row r="6" spans="2:8" ht="15.5">
      <c r="B6" s="49" t="s">
        <v>623</v>
      </c>
    </row>
    <row r="7" spans="2:8" ht="15.5">
      <c r="B7" s="138" t="s">
        <v>376</v>
      </c>
      <c r="C7" s="63">
        <v>2017</v>
      </c>
      <c r="D7" s="63">
        <v>2018</v>
      </c>
      <c r="E7" s="63">
        <v>2019</v>
      </c>
      <c r="F7" s="63" t="s">
        <v>335</v>
      </c>
      <c r="G7" s="63" t="s">
        <v>256</v>
      </c>
      <c r="H7" s="63" t="s">
        <v>257</v>
      </c>
    </row>
    <row r="8" spans="2:8" ht="15.5">
      <c r="B8" s="129" t="s">
        <v>624</v>
      </c>
      <c r="C8" s="31">
        <v>3614004</v>
      </c>
      <c r="D8" s="31">
        <v>3619871</v>
      </c>
      <c r="E8" s="31">
        <v>3750252</v>
      </c>
      <c r="F8" s="31">
        <v>4029848</v>
      </c>
      <c r="G8" s="31">
        <v>4159782</v>
      </c>
      <c r="H8" s="31">
        <v>4456419</v>
      </c>
    </row>
    <row r="9" spans="2:8" ht="15.5">
      <c r="B9" s="105" t="s">
        <v>625</v>
      </c>
      <c r="C9" s="65">
        <v>1783151</v>
      </c>
      <c r="D9" s="65">
        <v>1786491</v>
      </c>
      <c r="E9" s="65">
        <v>1854214</v>
      </c>
      <c r="F9" s="65">
        <v>1975737</v>
      </c>
      <c r="G9" s="65">
        <v>2050664</v>
      </c>
      <c r="H9" s="65">
        <v>2209396</v>
      </c>
    </row>
    <row r="10" spans="2:8" ht="15.5">
      <c r="B10" s="105" t="s">
        <v>626</v>
      </c>
      <c r="C10" s="65">
        <v>1830853</v>
      </c>
      <c r="D10" s="65">
        <v>1833380</v>
      </c>
      <c r="E10" s="65">
        <v>1896038</v>
      </c>
      <c r="F10" s="65">
        <v>2054111</v>
      </c>
      <c r="G10" s="65">
        <v>2109118</v>
      </c>
      <c r="H10" s="65">
        <v>2247023</v>
      </c>
    </row>
    <row r="11" spans="2:8" ht="15.5">
      <c r="B11" s="106" t="s">
        <v>627</v>
      </c>
      <c r="C11" s="152">
        <v>0.49299999999999999</v>
      </c>
      <c r="D11" s="152">
        <v>0.49399999999999999</v>
      </c>
      <c r="E11" s="152">
        <v>0.49399999999999999</v>
      </c>
      <c r="F11" s="152">
        <v>0.49</v>
      </c>
      <c r="G11" s="152">
        <v>0.49299999999999999</v>
      </c>
      <c r="H11" s="152">
        <v>0.496</v>
      </c>
    </row>
    <row r="12" spans="2:8" ht="15.5">
      <c r="B12" s="106" t="s">
        <v>628</v>
      </c>
      <c r="C12" s="152">
        <v>0.50700000000000001</v>
      </c>
      <c r="D12" s="152">
        <v>0.50600000000000001</v>
      </c>
      <c r="E12" s="152">
        <v>0.50600000000000001</v>
      </c>
      <c r="F12" s="152">
        <v>0.51</v>
      </c>
      <c r="G12" s="152">
        <v>0.50700000000000001</v>
      </c>
      <c r="H12" s="152">
        <v>0.504</v>
      </c>
    </row>
    <row r="13" spans="2:8" ht="15.5">
      <c r="B13" s="129" t="s">
        <v>403</v>
      </c>
      <c r="C13" s="31">
        <v>1098480</v>
      </c>
      <c r="D13" s="31">
        <v>1110454</v>
      </c>
      <c r="E13" s="31">
        <v>1171768</v>
      </c>
      <c r="F13" s="31">
        <v>1506280</v>
      </c>
      <c r="G13" s="31">
        <v>1590690</v>
      </c>
      <c r="H13" s="31">
        <v>1725647</v>
      </c>
    </row>
    <row r="14" spans="2:8" ht="15.5">
      <c r="B14" s="105" t="s">
        <v>625</v>
      </c>
      <c r="C14" s="65">
        <v>546970</v>
      </c>
      <c r="D14" s="65">
        <v>556061</v>
      </c>
      <c r="E14" s="65">
        <v>588029</v>
      </c>
      <c r="F14" s="65">
        <v>745710</v>
      </c>
      <c r="G14" s="65">
        <v>792307</v>
      </c>
      <c r="H14" s="65">
        <v>862398</v>
      </c>
    </row>
    <row r="15" spans="2:8" ht="15.5">
      <c r="B15" s="105" t="s">
        <v>626</v>
      </c>
      <c r="C15" s="65">
        <v>551510</v>
      </c>
      <c r="D15" s="65">
        <v>554393</v>
      </c>
      <c r="E15" s="65">
        <v>583739</v>
      </c>
      <c r="F15" s="65">
        <v>760570</v>
      </c>
      <c r="G15" s="65">
        <v>798383</v>
      </c>
      <c r="H15" s="65">
        <v>863249</v>
      </c>
    </row>
    <row r="16" spans="2:8" ht="15.5">
      <c r="B16" s="129" t="s">
        <v>404</v>
      </c>
      <c r="C16" s="31">
        <v>2149617</v>
      </c>
      <c r="D16" s="31">
        <v>2159576</v>
      </c>
      <c r="E16" s="31">
        <v>2189152</v>
      </c>
      <c r="F16" s="31">
        <v>2134012</v>
      </c>
      <c r="G16" s="31">
        <v>2169708</v>
      </c>
      <c r="H16" s="31">
        <v>2299765</v>
      </c>
    </row>
    <row r="17" spans="2:8" ht="15.5">
      <c r="B17" s="105" t="s">
        <v>625</v>
      </c>
      <c r="C17" s="65">
        <v>1050577</v>
      </c>
      <c r="D17" s="65">
        <v>1056498</v>
      </c>
      <c r="E17" s="65">
        <v>1071594</v>
      </c>
      <c r="F17" s="65">
        <v>1036099</v>
      </c>
      <c r="G17" s="65">
        <v>1058085</v>
      </c>
      <c r="H17" s="65">
        <v>1129641</v>
      </c>
    </row>
    <row r="18" spans="2:8" ht="15.5">
      <c r="B18" s="105" t="s">
        <v>626</v>
      </c>
      <c r="C18" s="65">
        <v>1099040</v>
      </c>
      <c r="D18" s="65">
        <v>1103078</v>
      </c>
      <c r="E18" s="65">
        <v>1117558</v>
      </c>
      <c r="F18" s="65">
        <v>1097913</v>
      </c>
      <c r="G18" s="65">
        <v>1111623</v>
      </c>
      <c r="H18" s="65">
        <v>1170124</v>
      </c>
    </row>
    <row r="19" spans="2:8" ht="15.5">
      <c r="B19" s="129" t="s">
        <v>405</v>
      </c>
      <c r="C19" s="31">
        <v>365907</v>
      </c>
      <c r="D19" s="31">
        <v>349841</v>
      </c>
      <c r="E19" s="31">
        <v>389332</v>
      </c>
      <c r="F19" s="31">
        <v>389556</v>
      </c>
      <c r="G19" s="31">
        <v>399384</v>
      </c>
      <c r="H19" s="31">
        <v>431007</v>
      </c>
    </row>
    <row r="20" spans="2:8" ht="15.5">
      <c r="B20" s="105" t="s">
        <v>625</v>
      </c>
      <c r="C20" s="65">
        <v>185604</v>
      </c>
      <c r="D20" s="65">
        <v>173932</v>
      </c>
      <c r="E20" s="65">
        <v>194591</v>
      </c>
      <c r="F20" s="65">
        <v>193928</v>
      </c>
      <c r="G20" s="65">
        <v>200272</v>
      </c>
      <c r="H20" s="65">
        <v>217357</v>
      </c>
    </row>
    <row r="21" spans="2:8" ht="15.5">
      <c r="B21" s="105" t="s">
        <v>626</v>
      </c>
      <c r="C21" s="65">
        <v>180303</v>
      </c>
      <c r="D21" s="65">
        <v>175909</v>
      </c>
      <c r="E21" s="65">
        <v>194741</v>
      </c>
      <c r="F21" s="65">
        <v>195628</v>
      </c>
      <c r="G21" s="65">
        <v>199112</v>
      </c>
      <c r="H21" s="65">
        <v>213650</v>
      </c>
    </row>
    <row r="22" spans="2:8" ht="14">
      <c r="B22" s="21" t="s">
        <v>278</v>
      </c>
    </row>
    <row r="23" spans="2:8" ht="14">
      <c r="B23" s="21"/>
    </row>
    <row r="24" spans="2:8" ht="15.5">
      <c r="B24" s="49" t="s">
        <v>630</v>
      </c>
    </row>
    <row r="25" spans="2:8" ht="15.5">
      <c r="B25" s="95" t="s">
        <v>376</v>
      </c>
      <c r="C25" s="71">
        <v>2017</v>
      </c>
      <c r="D25" s="71">
        <v>2018</v>
      </c>
      <c r="E25" s="71">
        <v>2019</v>
      </c>
      <c r="F25" s="71" t="s">
        <v>335</v>
      </c>
      <c r="G25" s="71" t="s">
        <v>256</v>
      </c>
      <c r="H25" s="71" t="s">
        <v>257</v>
      </c>
    </row>
    <row r="26" spans="2:8" ht="15.5">
      <c r="B26" s="96" t="s">
        <v>631</v>
      </c>
      <c r="C26" s="97">
        <v>225669</v>
      </c>
      <c r="D26" s="97">
        <v>233197</v>
      </c>
      <c r="E26" s="97">
        <v>289118</v>
      </c>
      <c r="F26" s="97">
        <v>297021</v>
      </c>
      <c r="G26" s="97">
        <v>1033011</v>
      </c>
      <c r="H26" s="524">
        <v>1134913</v>
      </c>
    </row>
    <row r="27" spans="2:8" ht="15.5">
      <c r="B27" s="76" t="s">
        <v>625</v>
      </c>
      <c r="C27" s="35">
        <v>110978</v>
      </c>
      <c r="D27" s="35">
        <v>115243</v>
      </c>
      <c r="E27" s="35">
        <v>142201</v>
      </c>
      <c r="F27" s="35">
        <v>144646</v>
      </c>
      <c r="G27" s="35">
        <v>496439</v>
      </c>
      <c r="H27" s="525">
        <v>548014</v>
      </c>
    </row>
    <row r="28" spans="2:8" ht="15.5">
      <c r="B28" s="76" t="s">
        <v>626</v>
      </c>
      <c r="C28" s="35">
        <v>114691</v>
      </c>
      <c r="D28" s="35">
        <v>117954</v>
      </c>
      <c r="E28" s="35">
        <v>146917</v>
      </c>
      <c r="F28" s="35">
        <v>152375</v>
      </c>
      <c r="G28" s="35">
        <v>536572</v>
      </c>
      <c r="H28" s="525">
        <v>586899</v>
      </c>
    </row>
    <row r="29" spans="2:8" ht="15.5">
      <c r="B29" s="109" t="s">
        <v>627</v>
      </c>
      <c r="C29" s="110">
        <v>0.49199999999999999</v>
      </c>
      <c r="D29" s="110">
        <v>0.49399999999999999</v>
      </c>
      <c r="E29" s="110">
        <v>0.49199999999999999</v>
      </c>
      <c r="F29" s="110">
        <v>0.48699999999999999</v>
      </c>
      <c r="G29" s="110">
        <v>0.48099999999999998</v>
      </c>
      <c r="H29" s="110">
        <v>0.48299999999999998</v>
      </c>
    </row>
    <row r="30" spans="2:8" ht="15.5">
      <c r="B30" s="109" t="s">
        <v>628</v>
      </c>
      <c r="C30" s="110">
        <v>0.50800000000000001</v>
      </c>
      <c r="D30" s="110">
        <v>0.50600000000000001</v>
      </c>
      <c r="E30" s="110">
        <v>0.50800000000000001</v>
      </c>
      <c r="F30" s="110">
        <v>0.51300000000000001</v>
      </c>
      <c r="G30" s="110">
        <v>0.51900000000000002</v>
      </c>
      <c r="H30" s="110">
        <v>0.51700000000000002</v>
      </c>
    </row>
    <row r="31" spans="2:8" ht="15.5">
      <c r="B31" s="96" t="s">
        <v>632</v>
      </c>
      <c r="C31" s="97">
        <v>5234</v>
      </c>
      <c r="D31" s="97">
        <v>6491</v>
      </c>
      <c r="E31" s="97">
        <v>6690</v>
      </c>
      <c r="F31" s="97">
        <v>3198</v>
      </c>
      <c r="G31" s="97">
        <v>677686</v>
      </c>
      <c r="H31" s="524">
        <v>593915</v>
      </c>
    </row>
    <row r="32" spans="2:8" ht="15.5">
      <c r="B32" s="76" t="s">
        <v>625</v>
      </c>
      <c r="C32" s="35">
        <v>2516</v>
      </c>
      <c r="D32" s="35">
        <v>3199</v>
      </c>
      <c r="E32" s="35">
        <v>3290</v>
      </c>
      <c r="F32" s="35">
        <v>1586</v>
      </c>
      <c r="G32" s="35">
        <v>318916</v>
      </c>
      <c r="H32" s="525">
        <v>276170</v>
      </c>
    </row>
    <row r="33" spans="2:8" ht="15.5">
      <c r="B33" s="76" t="s">
        <v>626</v>
      </c>
      <c r="C33" s="35">
        <v>2718</v>
      </c>
      <c r="D33" s="35">
        <v>3292</v>
      </c>
      <c r="E33" s="35">
        <v>3400</v>
      </c>
      <c r="F33" s="35">
        <v>1612</v>
      </c>
      <c r="G33" s="35">
        <v>358770</v>
      </c>
      <c r="H33" s="525">
        <v>317745</v>
      </c>
    </row>
    <row r="34" spans="2:8" ht="15.5">
      <c r="B34" s="154" t="s">
        <v>633</v>
      </c>
      <c r="C34" s="155">
        <v>5234</v>
      </c>
      <c r="D34" s="155">
        <v>6491</v>
      </c>
      <c r="E34" s="155">
        <v>6690</v>
      </c>
      <c r="F34" s="155">
        <v>3198</v>
      </c>
      <c r="G34" s="155">
        <v>25056</v>
      </c>
      <c r="H34" s="155">
        <v>24625</v>
      </c>
    </row>
    <row r="35" spans="2:8" ht="15.5">
      <c r="B35" s="76" t="s">
        <v>625</v>
      </c>
      <c r="C35" s="32">
        <v>2516</v>
      </c>
      <c r="D35" s="35">
        <v>3199</v>
      </c>
      <c r="E35" s="65">
        <v>3290</v>
      </c>
      <c r="F35" s="35">
        <v>1586</v>
      </c>
      <c r="G35" s="35">
        <v>11784</v>
      </c>
      <c r="H35" s="525">
        <v>11557</v>
      </c>
    </row>
    <row r="36" spans="2:8" ht="15.5">
      <c r="B36" s="76" t="s">
        <v>626</v>
      </c>
      <c r="C36" s="32">
        <v>2718</v>
      </c>
      <c r="D36" s="35">
        <v>3292</v>
      </c>
      <c r="E36" s="65">
        <v>3400</v>
      </c>
      <c r="F36" s="35">
        <v>1612</v>
      </c>
      <c r="G36" s="35">
        <v>13272</v>
      </c>
      <c r="H36" s="525">
        <v>13068</v>
      </c>
    </row>
    <row r="37" spans="2:8" ht="15.5">
      <c r="B37" s="154" t="s">
        <v>634</v>
      </c>
      <c r="C37" s="171"/>
      <c r="D37" s="171"/>
      <c r="E37" s="171"/>
      <c r="F37" s="171"/>
      <c r="G37" s="155">
        <v>652630</v>
      </c>
      <c r="H37" s="155">
        <v>569290</v>
      </c>
    </row>
    <row r="38" spans="2:8" ht="15.5">
      <c r="B38" s="76" t="s">
        <v>625</v>
      </c>
      <c r="C38" s="172"/>
      <c r="D38" s="172"/>
      <c r="E38" s="173"/>
      <c r="F38" s="172"/>
      <c r="G38" s="35">
        <v>307132</v>
      </c>
      <c r="H38" s="525">
        <v>264613</v>
      </c>
    </row>
    <row r="39" spans="2:8" ht="15.5">
      <c r="B39" s="76" t="s">
        <v>626</v>
      </c>
      <c r="C39" s="172"/>
      <c r="D39" s="172"/>
      <c r="E39" s="173"/>
      <c r="F39" s="172"/>
      <c r="G39" s="35">
        <v>345498</v>
      </c>
      <c r="H39" s="525">
        <v>304677</v>
      </c>
    </row>
    <row r="40" spans="2:8" ht="15.5">
      <c r="B40" s="96" t="s">
        <v>635</v>
      </c>
      <c r="C40" s="97">
        <v>220435</v>
      </c>
      <c r="D40" s="97">
        <v>226706</v>
      </c>
      <c r="E40" s="97">
        <v>282428</v>
      </c>
      <c r="F40" s="97">
        <v>293823</v>
      </c>
      <c r="G40" s="97">
        <v>355325</v>
      </c>
      <c r="H40" s="524">
        <v>540998</v>
      </c>
    </row>
    <row r="41" spans="2:8" ht="15.5">
      <c r="B41" s="76" t="s">
        <v>625</v>
      </c>
      <c r="C41" s="35">
        <v>108462</v>
      </c>
      <c r="D41" s="35">
        <v>112044</v>
      </c>
      <c r="E41" s="35">
        <v>138911</v>
      </c>
      <c r="F41" s="35">
        <v>143060</v>
      </c>
      <c r="G41" s="35">
        <v>177523</v>
      </c>
      <c r="H41" s="525">
        <v>271844</v>
      </c>
    </row>
    <row r="42" spans="2:8" ht="15.5">
      <c r="B42" s="76" t="s">
        <v>626</v>
      </c>
      <c r="C42" s="35">
        <v>111973</v>
      </c>
      <c r="D42" s="35">
        <v>114662</v>
      </c>
      <c r="E42" s="35">
        <v>143517</v>
      </c>
      <c r="F42" s="35">
        <v>150763</v>
      </c>
      <c r="G42" s="35">
        <v>177802</v>
      </c>
      <c r="H42" s="525">
        <v>269154</v>
      </c>
    </row>
    <row r="43" spans="2:8" ht="14">
      <c r="B43" s="153" t="s">
        <v>626</v>
      </c>
    </row>
    <row r="44" spans="2:8" ht="14">
      <c r="B44" s="21"/>
    </row>
    <row r="45" spans="2:8" ht="15.5">
      <c r="B45" s="48" t="s">
        <v>46</v>
      </c>
    </row>
    <row r="46" spans="2:8" ht="15.5">
      <c r="B46" s="95" t="s">
        <v>376</v>
      </c>
      <c r="C46" s="71">
        <v>2017</v>
      </c>
      <c r="D46" s="71">
        <v>2018</v>
      </c>
      <c r="E46" s="71">
        <v>2019</v>
      </c>
      <c r="F46" s="71" t="s">
        <v>335</v>
      </c>
      <c r="G46" s="71" t="s">
        <v>256</v>
      </c>
      <c r="H46" s="71" t="s">
        <v>257</v>
      </c>
    </row>
    <row r="47" spans="2:8" ht="15.5">
      <c r="B47" s="96" t="s">
        <v>636</v>
      </c>
      <c r="C47" s="97">
        <v>220435</v>
      </c>
      <c r="D47" s="97">
        <v>226706</v>
      </c>
      <c r="E47" s="97">
        <v>282428</v>
      </c>
      <c r="F47" s="97">
        <v>293823</v>
      </c>
      <c r="G47" s="97">
        <v>355325</v>
      </c>
      <c r="H47" s="97">
        <v>540998</v>
      </c>
    </row>
    <row r="48" spans="2:8" ht="15.5">
      <c r="B48" s="76" t="s">
        <v>625</v>
      </c>
      <c r="C48" s="35">
        <v>108462</v>
      </c>
      <c r="D48" s="35">
        <v>112044</v>
      </c>
      <c r="E48" s="35">
        <v>138911</v>
      </c>
      <c r="F48" s="35">
        <v>143060</v>
      </c>
      <c r="G48" s="35">
        <v>177523</v>
      </c>
      <c r="H48" s="35">
        <v>271844</v>
      </c>
    </row>
    <row r="49" spans="2:9" ht="15.5">
      <c r="B49" s="76" t="s">
        <v>626</v>
      </c>
      <c r="C49" s="35">
        <v>111973</v>
      </c>
      <c r="D49" s="35">
        <v>114662</v>
      </c>
      <c r="E49" s="35">
        <v>143517</v>
      </c>
      <c r="F49" s="35">
        <v>150763</v>
      </c>
      <c r="G49" s="35">
        <v>177802</v>
      </c>
      <c r="H49" s="35">
        <v>269154</v>
      </c>
    </row>
    <row r="50" spans="2:9" ht="15.5">
      <c r="B50" s="109" t="s">
        <v>627</v>
      </c>
      <c r="C50" s="110">
        <v>0.49199999999999999</v>
      </c>
      <c r="D50" s="110">
        <v>0.49399999999999999</v>
      </c>
      <c r="E50" s="110">
        <v>0.49199999999999999</v>
      </c>
      <c r="F50" s="110">
        <v>0.48699999999999999</v>
      </c>
      <c r="G50" s="110">
        <v>0.5</v>
      </c>
      <c r="H50" s="110">
        <v>0.502</v>
      </c>
    </row>
    <row r="51" spans="2:9" ht="15.5">
      <c r="B51" s="109" t="s">
        <v>628</v>
      </c>
      <c r="C51" s="110">
        <v>0.50800000000000001</v>
      </c>
      <c r="D51" s="110">
        <v>0.50600000000000001</v>
      </c>
      <c r="E51" s="110">
        <v>0.50800000000000001</v>
      </c>
      <c r="F51" s="110">
        <v>0.51300000000000001</v>
      </c>
      <c r="G51" s="110">
        <v>0.5</v>
      </c>
      <c r="H51" s="110">
        <v>0.498</v>
      </c>
    </row>
    <row r="52" spans="2:9" ht="15.5">
      <c r="B52" s="96" t="s">
        <v>637</v>
      </c>
      <c r="C52" s="97">
        <v>32281</v>
      </c>
      <c r="D52" s="97">
        <v>31940</v>
      </c>
      <c r="E52" s="97">
        <v>41646</v>
      </c>
      <c r="F52" s="97">
        <v>77893</v>
      </c>
      <c r="G52" s="97">
        <v>107447</v>
      </c>
      <c r="H52" s="97">
        <v>187549</v>
      </c>
    </row>
    <row r="53" spans="2:9" ht="15.5">
      <c r="B53" s="76" t="s">
        <v>625</v>
      </c>
      <c r="C53" s="35">
        <v>15765</v>
      </c>
      <c r="D53" s="35">
        <v>15978</v>
      </c>
      <c r="E53" s="35">
        <v>20531</v>
      </c>
      <c r="F53" s="35">
        <v>37600</v>
      </c>
      <c r="G53" s="35">
        <v>53184</v>
      </c>
      <c r="H53" s="35">
        <v>93940</v>
      </c>
    </row>
    <row r="54" spans="2:9" ht="15.5">
      <c r="B54" s="76" t="s">
        <v>626</v>
      </c>
      <c r="C54" s="35">
        <v>16516</v>
      </c>
      <c r="D54" s="35">
        <v>15962</v>
      </c>
      <c r="E54" s="35">
        <v>21115</v>
      </c>
      <c r="F54" s="35">
        <v>40293</v>
      </c>
      <c r="G54" s="35">
        <v>54263</v>
      </c>
      <c r="H54" s="35">
        <v>93609</v>
      </c>
    </row>
    <row r="55" spans="2:9" ht="31">
      <c r="B55" s="96" t="s">
        <v>638</v>
      </c>
      <c r="C55" s="97">
        <v>97226</v>
      </c>
      <c r="D55" s="97">
        <v>108750</v>
      </c>
      <c r="E55" s="97">
        <v>125658</v>
      </c>
      <c r="F55" s="97">
        <v>123351</v>
      </c>
      <c r="G55" s="97">
        <v>168846</v>
      </c>
      <c r="H55" s="97">
        <v>266248</v>
      </c>
    </row>
    <row r="56" spans="2:9" ht="15.5">
      <c r="B56" s="76" t="s">
        <v>625</v>
      </c>
      <c r="C56" s="35">
        <v>47431</v>
      </c>
      <c r="D56" s="35">
        <v>53386</v>
      </c>
      <c r="E56" s="35">
        <v>61610</v>
      </c>
      <c r="F56" s="35">
        <v>59455</v>
      </c>
      <c r="G56" s="35">
        <v>83850</v>
      </c>
      <c r="H56" s="35">
        <v>133361</v>
      </c>
    </row>
    <row r="57" spans="2:9" ht="15.5">
      <c r="B57" s="76" t="s">
        <v>626</v>
      </c>
      <c r="C57" s="35">
        <v>49795</v>
      </c>
      <c r="D57" s="35">
        <v>55364</v>
      </c>
      <c r="E57" s="35">
        <v>64048</v>
      </c>
      <c r="F57" s="35">
        <v>63896</v>
      </c>
      <c r="G57" s="35">
        <v>84996</v>
      </c>
      <c r="H57" s="35">
        <v>132887</v>
      </c>
    </row>
    <row r="58" spans="2:9" ht="15.5">
      <c r="B58" s="96" t="s">
        <v>639</v>
      </c>
      <c r="C58" s="97">
        <v>90928</v>
      </c>
      <c r="D58" s="97">
        <v>86016</v>
      </c>
      <c r="E58" s="97">
        <v>115124</v>
      </c>
      <c r="F58" s="97">
        <v>92579</v>
      </c>
      <c r="G58" s="97">
        <v>79032</v>
      </c>
      <c r="H58" s="97">
        <v>87201</v>
      </c>
    </row>
    <row r="59" spans="2:9" ht="15.5">
      <c r="B59" s="76" t="s">
        <v>625</v>
      </c>
      <c r="C59" s="35">
        <v>45266</v>
      </c>
      <c r="D59" s="35">
        <v>42680</v>
      </c>
      <c r="E59" s="35">
        <v>56770</v>
      </c>
      <c r="F59" s="35">
        <v>46005</v>
      </c>
      <c r="G59" s="35">
        <v>40489</v>
      </c>
      <c r="H59" s="35">
        <v>44543</v>
      </c>
    </row>
    <row r="60" spans="2:9" ht="15.5">
      <c r="B60" s="76" t="s">
        <v>626</v>
      </c>
      <c r="C60" s="35">
        <v>45662</v>
      </c>
      <c r="D60" s="35">
        <v>43336</v>
      </c>
      <c r="E60" s="35">
        <v>58354</v>
      </c>
      <c r="F60" s="35">
        <v>46574</v>
      </c>
      <c r="G60" s="35">
        <v>38543</v>
      </c>
      <c r="H60" s="35">
        <v>42658</v>
      </c>
    </row>
    <row r="61" spans="2:9" s="29" customFormat="1" ht="14">
      <c r="B61" s="81" t="s">
        <v>265</v>
      </c>
      <c r="C61" s="82"/>
      <c r="D61" s="82"/>
      <c r="E61" s="82"/>
      <c r="F61" s="82"/>
      <c r="G61" s="82"/>
      <c r="H61" s="448"/>
      <c r="I61" s="82"/>
    </row>
    <row r="62" spans="2:9" ht="14">
      <c r="B62" s="174" t="s">
        <v>314</v>
      </c>
    </row>
    <row r="63" spans="2:9" ht="15.5">
      <c r="B63" s="49" t="s">
        <v>47</v>
      </c>
    </row>
    <row r="64" spans="2:9" ht="15.5">
      <c r="B64" s="95" t="s">
        <v>640</v>
      </c>
      <c r="C64" s="71">
        <v>2017</v>
      </c>
      <c r="D64" s="71">
        <v>2018</v>
      </c>
      <c r="E64" s="71">
        <v>2019</v>
      </c>
      <c r="F64" s="71" t="s">
        <v>335</v>
      </c>
      <c r="G64" s="71" t="s">
        <v>256</v>
      </c>
      <c r="H64" s="71" t="s">
        <v>257</v>
      </c>
    </row>
    <row r="65" spans="2:9" ht="15.5">
      <c r="B65" s="96" t="s">
        <v>641</v>
      </c>
      <c r="C65" s="97">
        <v>2540374</v>
      </c>
      <c r="D65" s="97">
        <v>2503705</v>
      </c>
      <c r="E65" s="97">
        <v>2512465</v>
      </c>
      <c r="F65" s="97">
        <v>2729116</v>
      </c>
      <c r="G65" s="97">
        <v>2742551</v>
      </c>
      <c r="H65" s="97">
        <v>2838343</v>
      </c>
    </row>
    <row r="66" spans="2:9" ht="15.5">
      <c r="B66" s="76" t="s">
        <v>625</v>
      </c>
      <c r="C66" s="35">
        <v>1272842</v>
      </c>
      <c r="D66" s="35">
        <v>1259344</v>
      </c>
      <c r="E66" s="35">
        <v>1268996</v>
      </c>
      <c r="F66" s="35">
        <v>1370022</v>
      </c>
      <c r="G66" s="35">
        <v>1384332</v>
      </c>
      <c r="H66" s="35">
        <v>1445412</v>
      </c>
    </row>
    <row r="67" spans="2:9" ht="15.5">
      <c r="B67" s="76" t="s">
        <v>626</v>
      </c>
      <c r="C67" s="35">
        <v>1267532</v>
      </c>
      <c r="D67" s="35">
        <v>1244361</v>
      </c>
      <c r="E67" s="35">
        <v>1243469</v>
      </c>
      <c r="F67" s="35">
        <v>1359094</v>
      </c>
      <c r="G67" s="35">
        <v>1358219</v>
      </c>
      <c r="H67" s="35">
        <v>1392931</v>
      </c>
    </row>
    <row r="68" spans="2:9" ht="15.5">
      <c r="B68" s="109" t="s">
        <v>642</v>
      </c>
      <c r="C68" s="110">
        <v>0.501</v>
      </c>
      <c r="D68" s="110">
        <v>0.503</v>
      </c>
      <c r="E68" s="110">
        <v>0.505</v>
      </c>
      <c r="F68" s="169">
        <v>0.502</v>
      </c>
      <c r="G68" s="110">
        <v>0.505</v>
      </c>
      <c r="H68" s="110">
        <v>0.50900000000000001</v>
      </c>
    </row>
    <row r="69" spans="2:9" ht="15.5">
      <c r="B69" s="109" t="s">
        <v>643</v>
      </c>
      <c r="C69" s="110">
        <v>0.499</v>
      </c>
      <c r="D69" s="110">
        <v>0.497</v>
      </c>
      <c r="E69" s="110">
        <v>0.495</v>
      </c>
      <c r="F69" s="169">
        <v>0.498</v>
      </c>
      <c r="G69" s="110">
        <v>0.495</v>
      </c>
      <c r="H69" s="110">
        <v>0.49099999999999999</v>
      </c>
    </row>
    <row r="70" spans="2:9" ht="15.5">
      <c r="B70" s="96" t="s">
        <v>637</v>
      </c>
      <c r="C70" s="97">
        <v>796899</v>
      </c>
      <c r="D70" s="97">
        <v>790906</v>
      </c>
      <c r="E70" s="97">
        <v>812077</v>
      </c>
      <c r="F70" s="97">
        <v>1063617</v>
      </c>
      <c r="G70" s="97">
        <v>1097453</v>
      </c>
      <c r="H70" s="97">
        <v>1143847</v>
      </c>
    </row>
    <row r="71" spans="2:9" ht="15.5">
      <c r="B71" s="76" t="s">
        <v>625</v>
      </c>
      <c r="C71" s="35">
        <v>398902</v>
      </c>
      <c r="D71" s="35">
        <v>397253</v>
      </c>
      <c r="E71" s="35">
        <v>409920</v>
      </c>
      <c r="F71" s="35">
        <v>534244</v>
      </c>
      <c r="G71" s="35">
        <v>553802</v>
      </c>
      <c r="H71" s="35">
        <v>582517</v>
      </c>
    </row>
    <row r="72" spans="2:9" ht="15.5">
      <c r="B72" s="76" t="s">
        <v>626</v>
      </c>
      <c r="C72" s="35">
        <v>397997</v>
      </c>
      <c r="D72" s="35">
        <v>393653</v>
      </c>
      <c r="E72" s="35">
        <v>402157</v>
      </c>
      <c r="F72" s="35">
        <v>529373</v>
      </c>
      <c r="G72" s="35">
        <v>543651</v>
      </c>
      <c r="H72" s="35">
        <v>561330</v>
      </c>
    </row>
    <row r="73" spans="2:9" ht="31">
      <c r="B73" s="96" t="s">
        <v>638</v>
      </c>
      <c r="C73" s="97">
        <v>1647498</v>
      </c>
      <c r="D73" s="97">
        <v>1609471</v>
      </c>
      <c r="E73" s="97">
        <v>1592142</v>
      </c>
      <c r="F73" s="97">
        <v>1532460</v>
      </c>
      <c r="G73" s="97">
        <v>1507756</v>
      </c>
      <c r="H73" s="97">
        <v>1537759</v>
      </c>
    </row>
    <row r="74" spans="2:9" ht="15.5">
      <c r="B74" s="76" t="s">
        <v>625</v>
      </c>
      <c r="C74" s="35">
        <v>825558</v>
      </c>
      <c r="D74" s="35">
        <v>810129</v>
      </c>
      <c r="E74" s="35">
        <v>804421</v>
      </c>
      <c r="F74" s="35">
        <v>768918</v>
      </c>
      <c r="G74" s="32">
        <v>761619</v>
      </c>
      <c r="H74" s="32">
        <v>783814</v>
      </c>
    </row>
    <row r="75" spans="2:9" ht="15.5">
      <c r="B75" s="76" t="s">
        <v>626</v>
      </c>
      <c r="C75" s="35">
        <v>821940</v>
      </c>
      <c r="D75" s="35">
        <v>799342</v>
      </c>
      <c r="E75" s="35">
        <v>787721</v>
      </c>
      <c r="F75" s="35">
        <v>763542</v>
      </c>
      <c r="G75" s="32">
        <v>746137</v>
      </c>
      <c r="H75" s="32">
        <v>753945</v>
      </c>
    </row>
    <row r="76" spans="2:9" ht="15.5">
      <c r="B76" s="96" t="s">
        <v>639</v>
      </c>
      <c r="C76" s="97">
        <v>95977</v>
      </c>
      <c r="D76" s="97">
        <v>103328</v>
      </c>
      <c r="E76" s="97">
        <v>108246</v>
      </c>
      <c r="F76" s="97">
        <v>133039</v>
      </c>
      <c r="G76" s="97">
        <v>137342</v>
      </c>
      <c r="H76" s="97">
        <v>156737</v>
      </c>
    </row>
    <row r="77" spans="2:9" ht="15.5">
      <c r="B77" s="76" t="s">
        <v>625</v>
      </c>
      <c r="C77" s="35">
        <v>48382</v>
      </c>
      <c r="D77" s="35">
        <v>51962</v>
      </c>
      <c r="E77" s="35">
        <v>54655</v>
      </c>
      <c r="F77" s="35">
        <v>66860</v>
      </c>
      <c r="G77" s="35">
        <v>68911</v>
      </c>
      <c r="H77" s="35">
        <v>79081</v>
      </c>
    </row>
    <row r="78" spans="2:9" ht="15.5">
      <c r="B78" s="76" t="s">
        <v>626</v>
      </c>
      <c r="C78" s="35">
        <v>47595</v>
      </c>
      <c r="D78" s="35">
        <v>51366</v>
      </c>
      <c r="E78" s="35">
        <v>53591</v>
      </c>
      <c r="F78" s="35">
        <v>66179</v>
      </c>
      <c r="G78" s="35">
        <v>68431</v>
      </c>
      <c r="H78" s="35">
        <v>77656</v>
      </c>
    </row>
    <row r="79" spans="2:9" s="29" customFormat="1" ht="14">
      <c r="B79" s="21" t="s">
        <v>278</v>
      </c>
      <c r="H79" s="448"/>
      <c r="I79" s="82"/>
    </row>
    <row r="80" spans="2:9" ht="15.5">
      <c r="B80" s="170" t="s">
        <v>314</v>
      </c>
    </row>
    <row r="81" spans="2:8" ht="15.5">
      <c r="B81" s="49" t="s">
        <v>48</v>
      </c>
    </row>
    <row r="82" spans="2:8" ht="15.5">
      <c r="B82" s="95" t="s">
        <v>640</v>
      </c>
      <c r="C82" s="71">
        <v>2017</v>
      </c>
      <c r="D82" s="71">
        <v>2018</v>
      </c>
      <c r="E82" s="71">
        <v>2019</v>
      </c>
      <c r="F82" s="71" t="s">
        <v>335</v>
      </c>
      <c r="G82" s="71" t="s">
        <v>256</v>
      </c>
      <c r="H82" s="71" t="s">
        <v>257</v>
      </c>
    </row>
    <row r="83" spans="2:8" ht="15.5">
      <c r="B83" s="96" t="s">
        <v>644</v>
      </c>
      <c r="C83" s="97">
        <v>382661</v>
      </c>
      <c r="D83" s="97">
        <v>422093</v>
      </c>
      <c r="E83" s="97">
        <v>481138</v>
      </c>
      <c r="F83" s="97">
        <v>521631</v>
      </c>
      <c r="G83" s="97">
        <v>540634</v>
      </c>
      <c r="H83" s="329">
        <v>536427</v>
      </c>
    </row>
    <row r="84" spans="2:8" ht="15.5">
      <c r="B84" s="76" t="s">
        <v>625</v>
      </c>
      <c r="C84" s="35">
        <v>176797</v>
      </c>
      <c r="D84" s="35">
        <v>194314</v>
      </c>
      <c r="E84" s="35">
        <v>219915</v>
      </c>
      <c r="F84" s="35">
        <v>239474</v>
      </c>
      <c r="G84" s="328">
        <v>245840</v>
      </c>
      <c r="H84" s="525">
        <v>243281</v>
      </c>
    </row>
    <row r="85" spans="2:8" ht="15.5">
      <c r="B85" s="76" t="s">
        <v>626</v>
      </c>
      <c r="C85" s="35">
        <v>205864</v>
      </c>
      <c r="D85" s="35">
        <v>227779</v>
      </c>
      <c r="E85" s="35">
        <v>261223</v>
      </c>
      <c r="F85" s="35">
        <v>282157</v>
      </c>
      <c r="G85" s="35">
        <v>294794</v>
      </c>
      <c r="H85" s="330">
        <v>293146</v>
      </c>
    </row>
    <row r="86" spans="2:8" ht="15.5">
      <c r="B86" s="109" t="s">
        <v>627</v>
      </c>
      <c r="C86" s="110">
        <v>0.46200000000000002</v>
      </c>
      <c r="D86" s="110">
        <v>0.46</v>
      </c>
      <c r="E86" s="110">
        <v>0.45700000000000002</v>
      </c>
      <c r="F86" s="110">
        <v>0.45900000000000002</v>
      </c>
      <c r="G86" s="110">
        <v>0.45500000000000002</v>
      </c>
      <c r="H86" s="110">
        <v>0.45400000000000001</v>
      </c>
    </row>
    <row r="87" spans="2:8" ht="15.5">
      <c r="B87" s="109" t="s">
        <v>628</v>
      </c>
      <c r="C87" s="110">
        <v>0.53800000000000003</v>
      </c>
      <c r="D87" s="110">
        <v>0.54</v>
      </c>
      <c r="E87" s="110">
        <v>0.54300000000000004</v>
      </c>
      <c r="F87" s="110">
        <v>0.54100000000000004</v>
      </c>
      <c r="G87" s="110">
        <v>0.54500000000000004</v>
      </c>
      <c r="H87" s="110">
        <v>0.54600000000000004</v>
      </c>
    </row>
    <row r="88" spans="2:8" ht="15.5">
      <c r="B88" s="96" t="s">
        <v>645</v>
      </c>
      <c r="C88" s="97">
        <v>125053</v>
      </c>
      <c r="D88" s="97">
        <v>138482</v>
      </c>
      <c r="E88" s="97">
        <v>160034</v>
      </c>
      <c r="F88" s="97">
        <v>190088</v>
      </c>
      <c r="G88" s="97">
        <v>199249</v>
      </c>
      <c r="H88" s="97">
        <v>205266</v>
      </c>
    </row>
    <row r="89" spans="2:8" ht="15.5">
      <c r="B89" s="76" t="s">
        <v>625</v>
      </c>
      <c r="C89" s="35">
        <v>58857</v>
      </c>
      <c r="D89" s="35">
        <v>64617</v>
      </c>
      <c r="E89" s="35">
        <v>74384</v>
      </c>
      <c r="F89" s="35">
        <v>88199</v>
      </c>
      <c r="G89" s="35">
        <v>91989</v>
      </c>
      <c r="H89" s="35">
        <v>94524</v>
      </c>
    </row>
    <row r="90" spans="2:8" ht="15.5">
      <c r="B90" s="76" t="s">
        <v>626</v>
      </c>
      <c r="C90" s="35">
        <v>66196</v>
      </c>
      <c r="D90" s="35">
        <v>73865</v>
      </c>
      <c r="E90" s="35">
        <v>85650</v>
      </c>
      <c r="F90" s="35">
        <v>101889</v>
      </c>
      <c r="G90" s="35">
        <v>107260</v>
      </c>
      <c r="H90" s="35">
        <v>110742</v>
      </c>
    </row>
    <row r="91" spans="2:8" ht="31">
      <c r="B91" s="96" t="s">
        <v>646</v>
      </c>
      <c r="C91" s="97">
        <v>232874</v>
      </c>
      <c r="D91" s="97">
        <v>258660</v>
      </c>
      <c r="E91" s="97">
        <v>295952</v>
      </c>
      <c r="F91" s="97">
        <v>304064</v>
      </c>
      <c r="G91" s="97">
        <v>313737</v>
      </c>
      <c r="H91" s="97">
        <v>307340</v>
      </c>
    </row>
    <row r="92" spans="2:8" ht="15.5">
      <c r="B92" s="76" t="s">
        <v>625</v>
      </c>
      <c r="C92" s="35">
        <v>104640</v>
      </c>
      <c r="D92" s="35">
        <v>116232</v>
      </c>
      <c r="E92" s="35">
        <v>131872</v>
      </c>
      <c r="F92" s="35">
        <v>136416</v>
      </c>
      <c r="G92" s="32">
        <v>139144</v>
      </c>
      <c r="H92" s="32">
        <v>136086</v>
      </c>
    </row>
    <row r="93" spans="2:8" ht="15.5">
      <c r="B93" s="76" t="s">
        <v>626</v>
      </c>
      <c r="C93" s="35">
        <v>128234</v>
      </c>
      <c r="D93" s="35">
        <v>142428</v>
      </c>
      <c r="E93" s="35">
        <v>164080</v>
      </c>
      <c r="F93" s="35">
        <v>167648</v>
      </c>
      <c r="G93" s="32">
        <v>174593</v>
      </c>
      <c r="H93" s="32">
        <v>171254</v>
      </c>
    </row>
    <row r="94" spans="2:8" ht="15.5">
      <c r="B94" s="96" t="s">
        <v>647</v>
      </c>
      <c r="C94" s="97">
        <v>24734</v>
      </c>
      <c r="D94" s="97">
        <v>24951</v>
      </c>
      <c r="E94" s="97">
        <v>25152</v>
      </c>
      <c r="F94" s="97">
        <v>27479</v>
      </c>
      <c r="G94" s="97">
        <v>27648</v>
      </c>
      <c r="H94" s="97">
        <v>23821</v>
      </c>
    </row>
    <row r="95" spans="2:8" ht="15.5">
      <c r="B95" s="76" t="s">
        <v>625</v>
      </c>
      <c r="C95" s="35">
        <v>13300</v>
      </c>
      <c r="D95" s="35">
        <v>13465</v>
      </c>
      <c r="E95" s="35">
        <v>13659</v>
      </c>
      <c r="F95" s="35">
        <v>14859</v>
      </c>
      <c r="G95" s="35">
        <v>14707</v>
      </c>
      <c r="H95" s="35">
        <v>12671</v>
      </c>
    </row>
    <row r="96" spans="2:8" ht="15.5">
      <c r="B96" s="76" t="s">
        <v>626</v>
      </c>
      <c r="C96" s="35">
        <v>11434</v>
      </c>
      <c r="D96" s="35">
        <v>11486</v>
      </c>
      <c r="E96" s="35">
        <v>11493</v>
      </c>
      <c r="F96" s="35">
        <v>12620</v>
      </c>
      <c r="G96" s="35">
        <v>12941</v>
      </c>
      <c r="H96" s="35">
        <v>11150</v>
      </c>
    </row>
    <row r="97" spans="2:8" s="29" customFormat="1" ht="14">
      <c r="B97" s="50" t="s">
        <v>431</v>
      </c>
      <c r="C97" s="82"/>
      <c r="D97" s="82"/>
      <c r="E97" s="82"/>
      <c r="F97" s="82"/>
      <c r="G97" s="82"/>
      <c r="H97" s="448"/>
    </row>
    <row r="98" spans="2:8" ht="14">
      <c r="B98" s="174" t="s">
        <v>314</v>
      </c>
    </row>
    <row r="99" spans="2:8" ht="15.5">
      <c r="B99" s="49" t="s">
        <v>49</v>
      </c>
    </row>
    <row r="100" spans="2:8" ht="15.5">
      <c r="B100" s="95" t="s">
        <v>640</v>
      </c>
      <c r="C100" s="71">
        <v>2017</v>
      </c>
      <c r="D100" s="71">
        <v>2018</v>
      </c>
      <c r="E100" s="71">
        <v>2019</v>
      </c>
      <c r="F100" s="71" t="s">
        <v>335</v>
      </c>
      <c r="G100" s="71" t="s">
        <v>256</v>
      </c>
      <c r="H100" s="71" t="s">
        <v>257</v>
      </c>
    </row>
    <row r="101" spans="2:8" ht="15.5">
      <c r="B101" s="96" t="s">
        <v>648</v>
      </c>
      <c r="C101" s="97">
        <v>148716</v>
      </c>
      <c r="D101" s="97">
        <v>156804</v>
      </c>
      <c r="E101" s="97">
        <v>167809</v>
      </c>
      <c r="F101" s="97">
        <v>171994</v>
      </c>
      <c r="G101" s="97">
        <v>189660</v>
      </c>
      <c r="H101" s="97">
        <v>193571</v>
      </c>
    </row>
    <row r="102" spans="2:8" ht="15.5">
      <c r="B102" s="76" t="s">
        <v>625</v>
      </c>
      <c r="C102" s="35">
        <v>66248</v>
      </c>
      <c r="D102" s="35">
        <v>70468</v>
      </c>
      <c r="E102" s="35">
        <v>75203</v>
      </c>
      <c r="F102" s="35">
        <v>76222</v>
      </c>
      <c r="G102" s="35">
        <v>79198</v>
      </c>
      <c r="H102" s="35">
        <v>78699</v>
      </c>
    </row>
    <row r="103" spans="2:8" ht="15.5">
      <c r="B103" s="76" t="s">
        <v>626</v>
      </c>
      <c r="C103" s="35">
        <v>82468</v>
      </c>
      <c r="D103" s="35">
        <v>86336</v>
      </c>
      <c r="E103" s="35">
        <v>92606</v>
      </c>
      <c r="F103" s="35">
        <v>95772</v>
      </c>
      <c r="G103" s="35">
        <v>110462</v>
      </c>
      <c r="H103" s="35">
        <v>114872</v>
      </c>
    </row>
    <row r="104" spans="2:8" ht="15.5">
      <c r="B104" s="109" t="s">
        <v>627</v>
      </c>
      <c r="C104" s="158">
        <v>0.44500000000000001</v>
      </c>
      <c r="D104" s="158">
        <v>0.44900000000000001</v>
      </c>
      <c r="E104" s="158">
        <v>0.44800000000000001</v>
      </c>
      <c r="F104" s="158">
        <v>0.443</v>
      </c>
      <c r="G104" s="158">
        <v>0.41799999999999998</v>
      </c>
      <c r="H104" s="158">
        <v>0.40699999999999997</v>
      </c>
    </row>
    <row r="105" spans="2:8" ht="15.5">
      <c r="B105" s="109" t="s">
        <v>628</v>
      </c>
      <c r="C105" s="158">
        <v>0.55500000000000005</v>
      </c>
      <c r="D105" s="158">
        <v>0.55100000000000005</v>
      </c>
      <c r="E105" s="158">
        <v>0.55200000000000005</v>
      </c>
      <c r="F105" s="158">
        <v>0.55700000000000005</v>
      </c>
      <c r="G105" s="158">
        <v>0.58199999999999996</v>
      </c>
      <c r="H105" s="158">
        <v>0.59299999999999997</v>
      </c>
    </row>
    <row r="106" spans="2:8" ht="15.5">
      <c r="B106" s="96" t="s">
        <v>645</v>
      </c>
      <c r="C106" s="97">
        <v>49264</v>
      </c>
      <c r="D106" s="97">
        <v>52205</v>
      </c>
      <c r="E106" s="97">
        <v>55883</v>
      </c>
      <c r="F106" s="97">
        <v>58923</v>
      </c>
      <c r="G106" s="97">
        <v>63058</v>
      </c>
      <c r="H106" s="97">
        <v>66415</v>
      </c>
    </row>
    <row r="107" spans="2:8" ht="15.5">
      <c r="B107" s="76" t="s">
        <v>625</v>
      </c>
      <c r="C107" s="35">
        <v>23292</v>
      </c>
      <c r="D107" s="35">
        <v>24948</v>
      </c>
      <c r="E107" s="35">
        <v>26566</v>
      </c>
      <c r="F107" s="35">
        <v>27250</v>
      </c>
      <c r="G107" s="35">
        <v>27992</v>
      </c>
      <c r="H107" s="35">
        <v>28669</v>
      </c>
    </row>
    <row r="108" spans="2:8" ht="15.5">
      <c r="B108" s="76" t="s">
        <v>626</v>
      </c>
      <c r="C108" s="35">
        <v>25972</v>
      </c>
      <c r="D108" s="35">
        <v>27257</v>
      </c>
      <c r="E108" s="35">
        <v>29317</v>
      </c>
      <c r="F108" s="35">
        <v>31673</v>
      </c>
      <c r="G108" s="35">
        <v>35066</v>
      </c>
      <c r="H108" s="35">
        <v>37746</v>
      </c>
    </row>
    <row r="109" spans="2:8" ht="31">
      <c r="B109" s="96" t="s">
        <v>646</v>
      </c>
      <c r="C109" s="97">
        <v>87664</v>
      </c>
      <c r="D109" s="97">
        <v>93266</v>
      </c>
      <c r="E109" s="97">
        <v>100171</v>
      </c>
      <c r="F109" s="97">
        <v>100034</v>
      </c>
      <c r="G109" s="97">
        <v>108717</v>
      </c>
      <c r="H109" s="97">
        <v>108683</v>
      </c>
    </row>
    <row r="110" spans="2:8" ht="15.5">
      <c r="B110" s="76" t="s">
        <v>625</v>
      </c>
      <c r="C110" s="35">
        <v>37541</v>
      </c>
      <c r="D110" s="35">
        <v>40136</v>
      </c>
      <c r="E110" s="35">
        <v>42941</v>
      </c>
      <c r="F110" s="35">
        <v>42851</v>
      </c>
      <c r="G110" s="35">
        <v>44711</v>
      </c>
      <c r="H110" s="35">
        <v>43148</v>
      </c>
    </row>
    <row r="111" spans="2:8" ht="15.5">
      <c r="B111" s="76" t="s">
        <v>626</v>
      </c>
      <c r="C111" s="35">
        <v>50123</v>
      </c>
      <c r="D111" s="35">
        <v>53130</v>
      </c>
      <c r="E111" s="35">
        <v>57230</v>
      </c>
      <c r="F111" s="35">
        <v>57183</v>
      </c>
      <c r="G111" s="35">
        <v>64006</v>
      </c>
      <c r="H111" s="35">
        <v>65535</v>
      </c>
    </row>
    <row r="112" spans="2:8" ht="15.5">
      <c r="B112" s="96" t="s">
        <v>647</v>
      </c>
      <c r="C112" s="97">
        <v>11788</v>
      </c>
      <c r="D112" s="97">
        <v>11333</v>
      </c>
      <c r="E112" s="97">
        <v>11755</v>
      </c>
      <c r="F112" s="97">
        <v>13037</v>
      </c>
      <c r="G112" s="97">
        <v>17885</v>
      </c>
      <c r="H112" s="97">
        <v>18473</v>
      </c>
    </row>
    <row r="113" spans="2:9" ht="15.5">
      <c r="B113" s="76" t="s">
        <v>625</v>
      </c>
      <c r="C113" s="35">
        <v>5415</v>
      </c>
      <c r="D113" s="35">
        <v>5384</v>
      </c>
      <c r="E113" s="35">
        <v>5696</v>
      </c>
      <c r="F113" s="35">
        <v>6121</v>
      </c>
      <c r="G113" s="35">
        <v>6495</v>
      </c>
      <c r="H113" s="35">
        <v>6882</v>
      </c>
    </row>
    <row r="114" spans="2:9" ht="15.5">
      <c r="B114" s="76" t="s">
        <v>626</v>
      </c>
      <c r="C114" s="35">
        <v>6373</v>
      </c>
      <c r="D114" s="35">
        <v>5949</v>
      </c>
      <c r="E114" s="35">
        <v>6059</v>
      </c>
      <c r="F114" s="35">
        <v>6916</v>
      </c>
      <c r="G114" s="35">
        <v>11390</v>
      </c>
      <c r="H114" s="35">
        <v>11591</v>
      </c>
    </row>
    <row r="115" spans="2:9" s="29" customFormat="1" ht="14">
      <c r="B115" s="50" t="s">
        <v>431</v>
      </c>
      <c r="C115" s="82"/>
      <c r="D115" s="82"/>
      <c r="E115" s="82"/>
      <c r="F115" s="82"/>
      <c r="G115" s="82"/>
      <c r="H115" s="448"/>
      <c r="I115" s="82"/>
    </row>
    <row r="117" spans="2:9" ht="15.5">
      <c r="B117" s="49" t="s">
        <v>50</v>
      </c>
    </row>
    <row r="118" spans="2:9" ht="15.5">
      <c r="B118" s="95" t="s">
        <v>640</v>
      </c>
      <c r="C118" s="71">
        <v>2017</v>
      </c>
      <c r="D118" s="71">
        <v>2018</v>
      </c>
      <c r="E118" s="71">
        <v>2019</v>
      </c>
      <c r="F118" s="71" t="s">
        <v>335</v>
      </c>
      <c r="G118" s="71" t="s">
        <v>256</v>
      </c>
      <c r="H118" s="71" t="s">
        <v>257</v>
      </c>
    </row>
    <row r="119" spans="2:9" ht="15.5">
      <c r="B119" s="96" t="s">
        <v>649</v>
      </c>
      <c r="C119" s="97">
        <v>79595</v>
      </c>
      <c r="D119" s="97">
        <v>79388</v>
      </c>
      <c r="E119" s="97">
        <v>83157</v>
      </c>
      <c r="F119" s="97">
        <v>89221</v>
      </c>
      <c r="G119" s="97">
        <v>83458</v>
      </c>
      <c r="H119" s="97">
        <v>103555</v>
      </c>
    </row>
    <row r="120" spans="2:9" ht="15.5">
      <c r="B120" s="76" t="s">
        <v>625</v>
      </c>
      <c r="C120" s="35">
        <v>43500</v>
      </c>
      <c r="D120" s="35">
        <v>43585</v>
      </c>
      <c r="E120" s="35">
        <v>46573</v>
      </c>
      <c r="F120" s="35">
        <v>47518</v>
      </c>
      <c r="G120" s="35">
        <v>48623</v>
      </c>
      <c r="H120" s="35">
        <v>58611</v>
      </c>
    </row>
    <row r="121" spans="2:9" ht="15.5">
      <c r="B121" s="76" t="s">
        <v>626</v>
      </c>
      <c r="C121" s="35">
        <v>36095</v>
      </c>
      <c r="D121" s="35">
        <v>35803</v>
      </c>
      <c r="E121" s="35">
        <v>36584</v>
      </c>
      <c r="F121" s="35">
        <v>41703</v>
      </c>
      <c r="G121" s="35">
        <v>34835</v>
      </c>
      <c r="H121" s="35">
        <v>44944</v>
      </c>
    </row>
    <row r="122" spans="2:9" ht="15.5">
      <c r="B122" s="109" t="s">
        <v>627</v>
      </c>
      <c r="C122" s="110">
        <v>0.54700000000000004</v>
      </c>
      <c r="D122" s="110">
        <v>0.54900000000000004</v>
      </c>
      <c r="E122" s="110">
        <v>0.56000000000000005</v>
      </c>
      <c r="F122" s="110">
        <v>0.53300000000000003</v>
      </c>
      <c r="G122" s="110">
        <v>0.58299999999999996</v>
      </c>
      <c r="H122" s="110">
        <v>0.56599999999999995</v>
      </c>
    </row>
    <row r="123" spans="2:9" ht="15.5">
      <c r="B123" s="109" t="s">
        <v>628</v>
      </c>
      <c r="C123" s="110">
        <v>0.45300000000000001</v>
      </c>
      <c r="D123" s="110">
        <v>0.45100000000000001</v>
      </c>
      <c r="E123" s="110">
        <v>0.44</v>
      </c>
      <c r="F123" s="110">
        <v>0.46700000000000003</v>
      </c>
      <c r="G123" s="110">
        <v>0.41699999999999998</v>
      </c>
      <c r="H123" s="110">
        <v>0.434</v>
      </c>
    </row>
    <row r="124" spans="2:9" ht="15.5">
      <c r="B124" s="96" t="s">
        <v>650</v>
      </c>
      <c r="C124" s="97">
        <v>20634</v>
      </c>
      <c r="D124" s="97">
        <v>21563</v>
      </c>
      <c r="E124" s="97">
        <v>24671</v>
      </c>
      <c r="F124" s="97">
        <v>24261</v>
      </c>
      <c r="G124" s="97">
        <v>25191</v>
      </c>
      <c r="H124" s="97">
        <v>32934</v>
      </c>
    </row>
    <row r="125" spans="2:9" ht="15.5">
      <c r="B125" s="76" t="s">
        <v>625</v>
      </c>
      <c r="C125" s="35">
        <v>12368</v>
      </c>
      <c r="D125" s="35">
        <v>12849</v>
      </c>
      <c r="E125" s="35">
        <v>15952</v>
      </c>
      <c r="F125" s="35">
        <v>14292</v>
      </c>
      <c r="G125" s="35">
        <v>15006</v>
      </c>
      <c r="H125" s="35">
        <v>18861</v>
      </c>
    </row>
    <row r="126" spans="2:9" ht="15.5">
      <c r="B126" s="76" t="s">
        <v>626</v>
      </c>
      <c r="C126" s="35">
        <v>8266</v>
      </c>
      <c r="D126" s="35">
        <v>8714</v>
      </c>
      <c r="E126" s="35">
        <v>8719</v>
      </c>
      <c r="F126" s="35">
        <v>9969</v>
      </c>
      <c r="G126" s="35">
        <v>10185</v>
      </c>
      <c r="H126" s="35">
        <v>14073</v>
      </c>
    </row>
    <row r="127" spans="2:9" ht="31">
      <c r="B127" s="96" t="s">
        <v>651</v>
      </c>
      <c r="C127" s="97">
        <v>12208</v>
      </c>
      <c r="D127" s="97">
        <v>12170</v>
      </c>
      <c r="E127" s="97">
        <v>12411</v>
      </c>
      <c r="F127" s="97">
        <v>15056</v>
      </c>
      <c r="G127" s="97">
        <v>16272</v>
      </c>
      <c r="H127" s="97">
        <v>23096</v>
      </c>
    </row>
    <row r="128" spans="2:9" ht="15.5">
      <c r="B128" s="76" t="s">
        <v>625</v>
      </c>
      <c r="C128" s="35">
        <v>6853</v>
      </c>
      <c r="D128" s="35">
        <v>6595</v>
      </c>
      <c r="E128" s="35">
        <v>6682</v>
      </c>
      <c r="F128" s="35">
        <v>7741</v>
      </c>
      <c r="G128" s="32">
        <v>9253</v>
      </c>
      <c r="H128" s="32">
        <v>13081</v>
      </c>
    </row>
    <row r="129" spans="2:8" ht="15.5">
      <c r="B129" s="76" t="s">
        <v>626</v>
      </c>
      <c r="C129" s="35">
        <v>5355</v>
      </c>
      <c r="D129" s="35">
        <v>5575</v>
      </c>
      <c r="E129" s="35">
        <v>5729</v>
      </c>
      <c r="F129" s="35">
        <v>7315</v>
      </c>
      <c r="G129" s="32">
        <v>7019</v>
      </c>
      <c r="H129" s="32">
        <v>10015</v>
      </c>
    </row>
    <row r="130" spans="2:8" ht="15.5">
      <c r="B130" s="96" t="s">
        <v>652</v>
      </c>
      <c r="C130" s="97">
        <v>46753</v>
      </c>
      <c r="D130" s="97">
        <v>45655</v>
      </c>
      <c r="E130" s="97">
        <v>46075</v>
      </c>
      <c r="F130" s="97">
        <v>49904</v>
      </c>
      <c r="G130" s="97">
        <v>41995</v>
      </c>
      <c r="H130" s="97">
        <v>47525</v>
      </c>
    </row>
    <row r="131" spans="2:8" ht="15.5">
      <c r="B131" s="76" t="s">
        <v>625</v>
      </c>
      <c r="C131" s="35">
        <v>24279</v>
      </c>
      <c r="D131" s="35">
        <v>24141</v>
      </c>
      <c r="E131" s="35">
        <v>23939</v>
      </c>
      <c r="F131" s="35">
        <v>25485</v>
      </c>
      <c r="G131" s="35">
        <v>24364</v>
      </c>
      <c r="H131" s="35">
        <v>26669</v>
      </c>
    </row>
    <row r="132" spans="2:8" ht="15.5">
      <c r="B132" s="76" t="s">
        <v>626</v>
      </c>
      <c r="C132" s="35">
        <v>22474</v>
      </c>
      <c r="D132" s="35">
        <v>21514</v>
      </c>
      <c r="E132" s="35">
        <v>22136</v>
      </c>
      <c r="F132" s="35">
        <v>24419</v>
      </c>
      <c r="G132" s="35">
        <v>17631</v>
      </c>
      <c r="H132" s="35">
        <v>20856</v>
      </c>
    </row>
    <row r="133" spans="2:8" s="29" customFormat="1" ht="13">
      <c r="B133" s="133" t="s">
        <v>653</v>
      </c>
      <c r="H133" s="448"/>
    </row>
    <row r="135" spans="2:8" ht="15.5">
      <c r="B135" s="49" t="s">
        <v>51</v>
      </c>
      <c r="G135" s="333"/>
    </row>
    <row r="136" spans="2:8" ht="15" customHeight="1">
      <c r="B136" s="842" t="s">
        <v>654</v>
      </c>
      <c r="C136" s="838" t="s">
        <v>256</v>
      </c>
      <c r="D136" s="838"/>
      <c r="E136" s="839"/>
      <c r="F136" s="872" t="s">
        <v>257</v>
      </c>
      <c r="G136" s="872"/>
      <c r="H136" s="872"/>
    </row>
    <row r="137" spans="2:8" ht="31">
      <c r="B137" s="842"/>
      <c r="C137" s="161" t="s">
        <v>370</v>
      </c>
      <c r="D137" s="161" t="s">
        <v>369</v>
      </c>
      <c r="E137" s="446" t="s">
        <v>415</v>
      </c>
      <c r="F137" s="376" t="s">
        <v>655</v>
      </c>
      <c r="G137" s="376" t="s">
        <v>656</v>
      </c>
      <c r="H137" s="376" t="s">
        <v>315</v>
      </c>
    </row>
    <row r="138" spans="2:8" ht="14">
      <c r="B138" s="162" t="s">
        <v>648</v>
      </c>
      <c r="C138" s="44">
        <v>83458</v>
      </c>
      <c r="D138" s="44">
        <v>9291</v>
      </c>
      <c r="E138" s="163">
        <v>92749</v>
      </c>
      <c r="F138" s="163">
        <v>103555</v>
      </c>
      <c r="G138" s="163">
        <v>9814</v>
      </c>
      <c r="H138" s="163">
        <v>113369</v>
      </c>
    </row>
    <row r="139" spans="2:8" ht="14">
      <c r="B139" s="90" t="s">
        <v>625</v>
      </c>
      <c r="C139" s="164">
        <v>48623</v>
      </c>
      <c r="D139" s="45">
        <v>1528</v>
      </c>
      <c r="E139" s="91">
        <v>47947</v>
      </c>
      <c r="F139" s="91">
        <v>58611</v>
      </c>
      <c r="G139" s="91">
        <v>1841</v>
      </c>
      <c r="H139" s="91">
        <v>60452</v>
      </c>
    </row>
    <row r="140" spans="2:8" ht="14">
      <c r="B140" s="90" t="s">
        <v>626</v>
      </c>
      <c r="C140" s="164">
        <v>34835</v>
      </c>
      <c r="D140" s="45">
        <v>7763</v>
      </c>
      <c r="E140" s="91">
        <v>40725</v>
      </c>
      <c r="F140" s="91">
        <v>44944</v>
      </c>
      <c r="G140" s="91">
        <v>7973</v>
      </c>
      <c r="H140" s="91">
        <v>52917</v>
      </c>
    </row>
    <row r="141" spans="2:8" ht="14">
      <c r="B141" s="162" t="s">
        <v>645</v>
      </c>
      <c r="C141" s="163">
        <v>25191</v>
      </c>
      <c r="D141" s="163">
        <v>1892</v>
      </c>
      <c r="E141" s="163">
        <v>25676</v>
      </c>
      <c r="F141" s="163">
        <v>32934</v>
      </c>
      <c r="G141" s="163">
        <v>2170</v>
      </c>
      <c r="H141" s="163">
        <v>35104</v>
      </c>
    </row>
    <row r="142" spans="2:8" ht="14">
      <c r="B142" s="90" t="s">
        <v>625</v>
      </c>
      <c r="C142" s="165">
        <v>15006</v>
      </c>
      <c r="D142" s="92">
        <v>439</v>
      </c>
      <c r="E142" s="91">
        <v>14669</v>
      </c>
      <c r="F142" s="91">
        <v>18861</v>
      </c>
      <c r="G142" s="91">
        <v>528</v>
      </c>
      <c r="H142" s="91">
        <v>19389</v>
      </c>
    </row>
    <row r="143" spans="2:8" ht="14">
      <c r="B143" s="90" t="s">
        <v>626</v>
      </c>
      <c r="C143" s="165">
        <v>10185</v>
      </c>
      <c r="D143" s="92">
        <v>1485</v>
      </c>
      <c r="E143" s="91">
        <v>11007</v>
      </c>
      <c r="F143" s="91">
        <v>14073</v>
      </c>
      <c r="G143" s="91">
        <v>1642</v>
      </c>
      <c r="H143" s="91">
        <v>15715</v>
      </c>
    </row>
    <row r="144" spans="2:8" ht="14">
      <c r="B144" s="162" t="s">
        <v>646</v>
      </c>
      <c r="C144" s="163">
        <v>16272</v>
      </c>
      <c r="D144" s="163">
        <v>2106</v>
      </c>
      <c r="E144" s="163">
        <v>17860</v>
      </c>
      <c r="F144" s="163">
        <v>23096</v>
      </c>
      <c r="G144" s="163">
        <v>2463</v>
      </c>
      <c r="H144" s="163">
        <v>25559</v>
      </c>
    </row>
    <row r="145" spans="2:9" ht="14">
      <c r="B145" s="90" t="s">
        <v>625</v>
      </c>
      <c r="C145" s="165">
        <v>9253</v>
      </c>
      <c r="D145" s="92">
        <v>401</v>
      </c>
      <c r="E145" s="91">
        <v>9389</v>
      </c>
      <c r="F145" s="91">
        <v>13081</v>
      </c>
      <c r="G145" s="91">
        <v>529</v>
      </c>
      <c r="H145" s="91">
        <v>13610</v>
      </c>
    </row>
    <row r="146" spans="2:9" ht="14">
      <c r="B146" s="90" t="s">
        <v>626</v>
      </c>
      <c r="C146" s="165">
        <v>7019</v>
      </c>
      <c r="D146" s="92">
        <v>1742</v>
      </c>
      <c r="E146" s="91">
        <v>8471</v>
      </c>
      <c r="F146" s="91">
        <v>10015</v>
      </c>
      <c r="G146" s="91">
        <v>1934</v>
      </c>
      <c r="H146" s="91">
        <v>11949</v>
      </c>
    </row>
    <row r="147" spans="2:9" ht="14">
      <c r="B147" s="162" t="s">
        <v>647</v>
      </c>
      <c r="C147" s="163">
        <v>41995</v>
      </c>
      <c r="D147" s="163">
        <v>5012</v>
      </c>
      <c r="E147" s="163">
        <v>45136</v>
      </c>
      <c r="F147" s="163">
        <v>47525</v>
      </c>
      <c r="G147" s="163">
        <v>5181</v>
      </c>
      <c r="H147" s="163">
        <v>52706</v>
      </c>
    </row>
    <row r="148" spans="2:9" ht="14">
      <c r="B148" s="90" t="s">
        <v>625</v>
      </c>
      <c r="C148" s="166">
        <v>24364</v>
      </c>
      <c r="D148" s="92">
        <v>688</v>
      </c>
      <c r="E148" s="91">
        <v>23889</v>
      </c>
      <c r="F148" s="91">
        <v>26669</v>
      </c>
      <c r="G148" s="91">
        <v>784</v>
      </c>
      <c r="H148" s="91">
        <v>27453</v>
      </c>
    </row>
    <row r="149" spans="2:9" ht="14">
      <c r="B149" s="90" t="s">
        <v>626</v>
      </c>
      <c r="C149" s="166">
        <v>17631</v>
      </c>
      <c r="D149" s="92">
        <v>4536</v>
      </c>
      <c r="E149" s="91">
        <v>21247</v>
      </c>
      <c r="F149" s="91">
        <v>20856</v>
      </c>
      <c r="G149" s="91">
        <v>4397</v>
      </c>
      <c r="H149" s="91">
        <v>25253</v>
      </c>
    </row>
    <row r="150" spans="2:9" s="29" customFormat="1" ht="14">
      <c r="B150" s="81" t="s">
        <v>265</v>
      </c>
      <c r="C150" s="82"/>
      <c r="D150" s="82"/>
      <c r="E150" s="82"/>
      <c r="F150" s="82"/>
      <c r="G150" s="82"/>
      <c r="H150" s="333"/>
    </row>
    <row r="151" spans="2:9" ht="14">
      <c r="B151" s="159"/>
    </row>
    <row r="152" spans="2:9" ht="15.5">
      <c r="B152" s="49" t="s">
        <v>52</v>
      </c>
      <c r="I152" s="380"/>
    </row>
    <row r="153" spans="2:9" ht="15.5">
      <c r="B153" s="41" t="s">
        <v>376</v>
      </c>
      <c r="C153" s="42" t="s">
        <v>422</v>
      </c>
      <c r="D153" s="42" t="s">
        <v>423</v>
      </c>
      <c r="E153" s="42" t="s">
        <v>424</v>
      </c>
      <c r="F153" s="42" t="s">
        <v>335</v>
      </c>
      <c r="G153" s="42" t="s">
        <v>256</v>
      </c>
      <c r="H153" s="377" t="s">
        <v>257</v>
      </c>
      <c r="I153" s="381"/>
    </row>
    <row r="154" spans="2:9" ht="15.5">
      <c r="B154" s="43" t="s">
        <v>657</v>
      </c>
      <c r="C154" s="44">
        <v>91193</v>
      </c>
      <c r="D154" s="44">
        <v>89160</v>
      </c>
      <c r="E154" s="44">
        <v>86206</v>
      </c>
      <c r="F154" s="44">
        <v>88448</v>
      </c>
      <c r="G154" s="44">
        <v>95863</v>
      </c>
      <c r="H154" s="44">
        <v>119716</v>
      </c>
      <c r="I154" s="381"/>
    </row>
    <row r="155" spans="2:9" ht="15.5">
      <c r="B155" s="47" t="s">
        <v>625</v>
      </c>
      <c r="C155" s="45">
        <v>49908</v>
      </c>
      <c r="D155" s="45">
        <v>51119</v>
      </c>
      <c r="E155" s="45">
        <v>49090</v>
      </c>
      <c r="F155" s="45">
        <v>48757</v>
      </c>
      <c r="G155" s="45">
        <v>53771</v>
      </c>
      <c r="H155" s="45">
        <v>66856</v>
      </c>
      <c r="I155" s="381"/>
    </row>
    <row r="156" spans="2:9" ht="15.5">
      <c r="B156" s="47" t="s">
        <v>626</v>
      </c>
      <c r="C156" s="45">
        <v>41285</v>
      </c>
      <c r="D156" s="45">
        <v>38041</v>
      </c>
      <c r="E156" s="45">
        <v>37116</v>
      </c>
      <c r="F156" s="45">
        <v>39691</v>
      </c>
      <c r="G156" s="45">
        <v>42092</v>
      </c>
      <c r="H156" s="45">
        <v>52860</v>
      </c>
      <c r="I156" s="496"/>
    </row>
    <row r="157" spans="2:9" ht="15.5">
      <c r="B157" s="167" t="s">
        <v>627</v>
      </c>
      <c r="C157" s="168">
        <v>0.54700000000000004</v>
      </c>
      <c r="D157" s="168">
        <v>0.57299999999999995</v>
      </c>
      <c r="E157" s="168">
        <v>0.56899999999999995</v>
      </c>
      <c r="F157" s="168">
        <v>0.55100000000000005</v>
      </c>
      <c r="G157" s="168">
        <v>0.56100000000000005</v>
      </c>
      <c r="H157" s="168">
        <v>0.55800000000000005</v>
      </c>
      <c r="I157" s="496"/>
    </row>
    <row r="158" spans="2:9" ht="15.5">
      <c r="B158" s="167" t="s">
        <v>628</v>
      </c>
      <c r="C158" s="168">
        <v>0.45300000000000001</v>
      </c>
      <c r="D158" s="168">
        <v>0.42699999999999999</v>
      </c>
      <c r="E158" s="168">
        <v>0.43099999999999999</v>
      </c>
      <c r="F158" s="168">
        <v>0.44900000000000001</v>
      </c>
      <c r="G158" s="168">
        <v>0.439</v>
      </c>
      <c r="H158" s="168">
        <v>0.442</v>
      </c>
      <c r="I158" s="381"/>
    </row>
    <row r="159" spans="2:9" ht="15.5">
      <c r="B159" s="43" t="s">
        <v>658</v>
      </c>
      <c r="C159" s="44">
        <v>38595</v>
      </c>
      <c r="D159" s="44">
        <v>38338</v>
      </c>
      <c r="E159" s="44">
        <v>35719</v>
      </c>
      <c r="F159" s="44">
        <v>37177</v>
      </c>
      <c r="G159" s="44">
        <v>42753</v>
      </c>
      <c r="H159" s="44">
        <v>42334</v>
      </c>
      <c r="I159" s="382"/>
    </row>
    <row r="160" spans="2:9" ht="15.5">
      <c r="B160" s="47" t="s">
        <v>625</v>
      </c>
      <c r="C160" s="45">
        <v>25518</v>
      </c>
      <c r="D160" s="45">
        <v>26247</v>
      </c>
      <c r="E160" s="45">
        <v>24364</v>
      </c>
      <c r="F160" s="45">
        <v>24657</v>
      </c>
      <c r="G160" s="45">
        <v>27373</v>
      </c>
      <c r="H160" s="45">
        <v>26904</v>
      </c>
      <c r="I160" s="382"/>
    </row>
    <row r="161" spans="2:9" ht="15.5">
      <c r="B161" s="47" t="s">
        <v>626</v>
      </c>
      <c r="C161" s="45">
        <v>13077</v>
      </c>
      <c r="D161" s="45">
        <v>12091</v>
      </c>
      <c r="E161" s="45">
        <v>11355</v>
      </c>
      <c r="F161" s="45">
        <v>12520</v>
      </c>
      <c r="G161" s="45">
        <v>15380</v>
      </c>
      <c r="H161" s="45">
        <v>15430</v>
      </c>
      <c r="I161" s="496"/>
    </row>
    <row r="162" spans="2:9" ht="15.5">
      <c r="B162" s="167" t="s">
        <v>627</v>
      </c>
      <c r="C162" s="168">
        <v>0.66100000000000003</v>
      </c>
      <c r="D162" s="168">
        <v>0.68500000000000005</v>
      </c>
      <c r="E162" s="168">
        <v>0.68200000000000005</v>
      </c>
      <c r="F162" s="168">
        <v>0.66300000000000003</v>
      </c>
      <c r="G162" s="168">
        <v>0.64</v>
      </c>
      <c r="H162" s="168">
        <v>0.63600000000000001</v>
      </c>
      <c r="I162" s="496"/>
    </row>
    <row r="163" spans="2:9" ht="15.5">
      <c r="B163" s="167" t="s">
        <v>628</v>
      </c>
      <c r="C163" s="168">
        <v>0.33900000000000002</v>
      </c>
      <c r="D163" s="168">
        <v>0.315</v>
      </c>
      <c r="E163" s="168">
        <v>0.318</v>
      </c>
      <c r="F163" s="168">
        <v>0.33700000000000002</v>
      </c>
      <c r="G163" s="168">
        <v>0.36</v>
      </c>
      <c r="H163" s="168">
        <v>0.36399999999999999</v>
      </c>
      <c r="I163" s="381"/>
    </row>
    <row r="164" spans="2:9" ht="15.5">
      <c r="B164" s="43" t="s">
        <v>659</v>
      </c>
      <c r="C164" s="44">
        <v>52598</v>
      </c>
      <c r="D164" s="44">
        <v>50822</v>
      </c>
      <c r="E164" s="44">
        <v>50487</v>
      </c>
      <c r="F164" s="44">
        <v>51271</v>
      </c>
      <c r="G164" s="44">
        <v>53110</v>
      </c>
      <c r="H164" s="44">
        <v>77382</v>
      </c>
      <c r="I164" s="382"/>
    </row>
    <row r="165" spans="2:9" ht="15.5">
      <c r="B165" s="47" t="s">
        <v>625</v>
      </c>
      <c r="C165" s="45">
        <v>24390</v>
      </c>
      <c r="D165" s="45">
        <v>24872</v>
      </c>
      <c r="E165" s="45">
        <v>24726</v>
      </c>
      <c r="F165" s="45">
        <v>24100</v>
      </c>
      <c r="G165" s="45">
        <v>26398</v>
      </c>
      <c r="H165" s="45">
        <v>39952</v>
      </c>
      <c r="I165" s="382"/>
    </row>
    <row r="166" spans="2:9" ht="15.5">
      <c r="B166" s="47" t="s">
        <v>626</v>
      </c>
      <c r="C166" s="45">
        <v>28208</v>
      </c>
      <c r="D166" s="45">
        <v>25950</v>
      </c>
      <c r="E166" s="45">
        <v>25761</v>
      </c>
      <c r="F166" s="45">
        <v>27171</v>
      </c>
      <c r="G166" s="45">
        <v>26712</v>
      </c>
      <c r="H166" s="45">
        <v>37430</v>
      </c>
      <c r="I166" s="496"/>
    </row>
    <row r="167" spans="2:9" ht="15.5">
      <c r="B167" s="167" t="s">
        <v>627</v>
      </c>
      <c r="C167" s="168">
        <v>0.46400000000000002</v>
      </c>
      <c r="D167" s="168">
        <v>0.48899999999999999</v>
      </c>
      <c r="E167" s="168">
        <v>0.49</v>
      </c>
      <c r="F167" s="168">
        <v>0.47</v>
      </c>
      <c r="G167" s="168">
        <v>0.497</v>
      </c>
      <c r="H167" s="168">
        <v>0.51600000000000001</v>
      </c>
      <c r="I167" s="496"/>
    </row>
    <row r="168" spans="2:9" ht="14.5">
      <c r="B168" s="167" t="s">
        <v>628</v>
      </c>
      <c r="C168" s="168">
        <v>0.53600000000000003</v>
      </c>
      <c r="D168" s="168">
        <v>0.51100000000000001</v>
      </c>
      <c r="E168" s="168">
        <v>0.51</v>
      </c>
      <c r="F168" s="168">
        <v>0.53</v>
      </c>
      <c r="G168" s="168">
        <v>0.503</v>
      </c>
      <c r="H168" s="168">
        <v>0.48399999999999999</v>
      </c>
    </row>
    <row r="169" spans="2:9" s="29" customFormat="1" ht="13">
      <c r="B169" s="21" t="s">
        <v>278</v>
      </c>
      <c r="H169" s="448"/>
    </row>
    <row r="171" spans="2:9" ht="15.5">
      <c r="B171" s="49" t="s">
        <v>53</v>
      </c>
    </row>
    <row r="172" spans="2:9" ht="15.5">
      <c r="B172" s="95" t="s">
        <v>376</v>
      </c>
      <c r="C172" s="71" t="s">
        <v>422</v>
      </c>
      <c r="D172" s="71" t="s">
        <v>423</v>
      </c>
      <c r="E172" s="71" t="s">
        <v>424</v>
      </c>
      <c r="F172" s="71" t="s">
        <v>335</v>
      </c>
      <c r="G172" s="71" t="s">
        <v>256</v>
      </c>
      <c r="H172" s="71" t="s">
        <v>257</v>
      </c>
    </row>
    <row r="173" spans="2:9" ht="15.5">
      <c r="B173" s="96" t="s">
        <v>660</v>
      </c>
      <c r="C173" s="97">
        <v>10420</v>
      </c>
      <c r="D173" s="97">
        <v>13447</v>
      </c>
      <c r="E173" s="97">
        <v>14078</v>
      </c>
      <c r="F173" s="97">
        <v>13172</v>
      </c>
      <c r="G173" s="97">
        <v>13393</v>
      </c>
      <c r="H173" s="524">
        <v>13587</v>
      </c>
    </row>
    <row r="174" spans="2:9" ht="15.5">
      <c r="B174" s="76" t="s">
        <v>625</v>
      </c>
      <c r="C174" s="35">
        <v>7881</v>
      </c>
      <c r="D174" s="35">
        <v>9661</v>
      </c>
      <c r="E174" s="35">
        <v>10135</v>
      </c>
      <c r="F174" s="35">
        <v>9582</v>
      </c>
      <c r="G174" s="35">
        <v>9961</v>
      </c>
      <c r="H174" s="525">
        <v>9763</v>
      </c>
    </row>
    <row r="175" spans="2:9" ht="15.5">
      <c r="B175" s="76" t="s">
        <v>626</v>
      </c>
      <c r="C175" s="35">
        <v>2539</v>
      </c>
      <c r="D175" s="35">
        <v>3786</v>
      </c>
      <c r="E175" s="35">
        <v>3943</v>
      </c>
      <c r="F175" s="35">
        <v>3590</v>
      </c>
      <c r="G175" s="35">
        <v>3432</v>
      </c>
      <c r="H175" s="525">
        <v>3824</v>
      </c>
    </row>
    <row r="176" spans="2:9" ht="15.5">
      <c r="B176" s="109" t="s">
        <v>627</v>
      </c>
      <c r="C176" s="110">
        <v>0.75600000000000001</v>
      </c>
      <c r="D176" s="110">
        <v>0.71799999999999997</v>
      </c>
      <c r="E176" s="110">
        <v>0.72</v>
      </c>
      <c r="F176" s="110">
        <v>0.72699999999999998</v>
      </c>
      <c r="G176" s="110">
        <v>0.74399999999999999</v>
      </c>
      <c r="H176" s="110">
        <v>0.71899999999999997</v>
      </c>
    </row>
    <row r="177" spans="2:10" ht="15.5">
      <c r="B177" s="109" t="s">
        <v>628</v>
      </c>
      <c r="C177" s="110">
        <v>0.24399999999999999</v>
      </c>
      <c r="D177" s="110">
        <v>0.28199999999999997</v>
      </c>
      <c r="E177" s="110">
        <v>0.28000000000000003</v>
      </c>
      <c r="F177" s="110">
        <v>0.27300000000000002</v>
      </c>
      <c r="G177" s="110">
        <v>0.25600000000000001</v>
      </c>
      <c r="H177" s="110">
        <v>0.28100000000000003</v>
      </c>
    </row>
    <row r="178" spans="2:10" ht="15.5">
      <c r="B178" s="96" t="s">
        <v>661</v>
      </c>
      <c r="C178" s="97">
        <v>7964</v>
      </c>
      <c r="D178" s="97">
        <v>9409</v>
      </c>
      <c r="E178" s="97">
        <v>9374</v>
      </c>
      <c r="F178" s="97">
        <v>9912</v>
      </c>
      <c r="G178" s="97">
        <v>10511</v>
      </c>
      <c r="H178" s="524">
        <v>10650</v>
      </c>
    </row>
    <row r="179" spans="2:10" ht="15.5">
      <c r="B179" s="76" t="s">
        <v>625</v>
      </c>
      <c r="C179" s="35">
        <v>6280</v>
      </c>
      <c r="D179" s="35">
        <v>7162</v>
      </c>
      <c r="E179" s="35">
        <v>7315</v>
      </c>
      <c r="F179" s="35">
        <v>7643</v>
      </c>
      <c r="G179" s="35">
        <v>7755</v>
      </c>
      <c r="H179" s="525">
        <v>7436</v>
      </c>
    </row>
    <row r="180" spans="2:10" ht="15.5">
      <c r="B180" s="76" t="s">
        <v>626</v>
      </c>
      <c r="C180" s="35">
        <v>1684</v>
      </c>
      <c r="D180" s="35">
        <v>2247</v>
      </c>
      <c r="E180" s="35">
        <v>2059</v>
      </c>
      <c r="F180" s="35">
        <v>2269</v>
      </c>
      <c r="G180" s="35">
        <v>2756</v>
      </c>
      <c r="H180" s="525">
        <v>3214</v>
      </c>
    </row>
    <row r="181" spans="2:10" ht="15.5">
      <c r="B181" s="109" t="s">
        <v>627</v>
      </c>
      <c r="C181" s="110">
        <v>0.78900000000000003</v>
      </c>
      <c r="D181" s="110">
        <v>0.76100000000000001</v>
      </c>
      <c r="E181" s="110">
        <v>0.78</v>
      </c>
      <c r="F181" s="110">
        <v>0.77100000000000002</v>
      </c>
      <c r="G181" s="110">
        <v>0.73799999999999999</v>
      </c>
      <c r="H181" s="110">
        <v>0.69799999999999995</v>
      </c>
    </row>
    <row r="182" spans="2:10" ht="15.5">
      <c r="B182" s="109" t="s">
        <v>628</v>
      </c>
      <c r="C182" s="110">
        <v>0.21099999999999999</v>
      </c>
      <c r="D182" s="110">
        <v>0.23899999999999999</v>
      </c>
      <c r="E182" s="110">
        <v>0.22</v>
      </c>
      <c r="F182" s="110">
        <v>0.22900000000000001</v>
      </c>
      <c r="G182" s="110">
        <v>0.26200000000000001</v>
      </c>
      <c r="H182" s="110">
        <v>0.30199999999999999</v>
      </c>
    </row>
    <row r="183" spans="2:10" ht="15.5">
      <c r="B183" s="96" t="s">
        <v>662</v>
      </c>
      <c r="C183" s="97">
        <v>2456</v>
      </c>
      <c r="D183" s="97">
        <v>4038</v>
      </c>
      <c r="E183" s="97">
        <v>4704</v>
      </c>
      <c r="F183" s="97">
        <v>3260</v>
      </c>
      <c r="G183" s="97">
        <v>2882</v>
      </c>
      <c r="H183" s="524">
        <v>2937</v>
      </c>
    </row>
    <row r="184" spans="2:10" ht="15.5">
      <c r="B184" s="76" t="s">
        <v>625</v>
      </c>
      <c r="C184" s="35">
        <v>1601</v>
      </c>
      <c r="D184" s="35">
        <v>2499</v>
      </c>
      <c r="E184" s="35">
        <v>2820</v>
      </c>
      <c r="F184" s="35">
        <v>1939</v>
      </c>
      <c r="G184" s="35">
        <v>2206</v>
      </c>
      <c r="H184" s="525">
        <v>2327</v>
      </c>
    </row>
    <row r="185" spans="2:10" ht="15.5">
      <c r="B185" s="76" t="s">
        <v>626</v>
      </c>
      <c r="C185" s="32">
        <v>855</v>
      </c>
      <c r="D185" s="35">
        <v>1539</v>
      </c>
      <c r="E185" s="35">
        <v>1884</v>
      </c>
      <c r="F185" s="35">
        <v>1321</v>
      </c>
      <c r="G185" s="32">
        <v>676</v>
      </c>
      <c r="H185" s="32">
        <v>610</v>
      </c>
    </row>
    <row r="186" spans="2:10" ht="15.5">
      <c r="B186" s="109" t="s">
        <v>627</v>
      </c>
      <c r="C186" s="110">
        <v>0.65200000000000002</v>
      </c>
      <c r="D186" s="110">
        <v>0.61899999999999999</v>
      </c>
      <c r="E186" s="110">
        <v>0.59899999999999998</v>
      </c>
      <c r="F186" s="110">
        <v>0.59499999999999997</v>
      </c>
      <c r="G186" s="110">
        <v>0.76500000000000001</v>
      </c>
      <c r="H186" s="110">
        <v>0.79200000000000004</v>
      </c>
    </row>
    <row r="187" spans="2:10" ht="15.5">
      <c r="B187" s="109" t="s">
        <v>628</v>
      </c>
      <c r="C187" s="110">
        <v>0.34799999999999998</v>
      </c>
      <c r="D187" s="110">
        <v>0.38100000000000001</v>
      </c>
      <c r="E187" s="110">
        <v>0.40100000000000002</v>
      </c>
      <c r="F187" s="110">
        <v>0.40500000000000003</v>
      </c>
      <c r="G187" s="110">
        <v>0.23499999999999999</v>
      </c>
      <c r="H187" s="110">
        <v>0.20799999999999999</v>
      </c>
    </row>
    <row r="188" spans="2:10" s="29" customFormat="1" ht="14">
      <c r="B188" s="21" t="s">
        <v>278</v>
      </c>
      <c r="H188" s="448"/>
      <c r="J188" s="82"/>
    </row>
    <row r="189" spans="2:10" ht="14">
      <c r="B189" s="174" t="s">
        <v>314</v>
      </c>
    </row>
    <row r="190" spans="2:10" ht="15.5">
      <c r="B190" s="49" t="s">
        <v>54</v>
      </c>
    </row>
    <row r="191" spans="2:10" ht="14">
      <c r="B191" s="41" t="s">
        <v>376</v>
      </c>
      <c r="C191" s="42" t="s">
        <v>422</v>
      </c>
      <c r="D191" s="42" t="s">
        <v>423</v>
      </c>
      <c r="E191" s="42" t="s">
        <v>424</v>
      </c>
      <c r="F191" s="42" t="s">
        <v>335</v>
      </c>
      <c r="G191" s="42" t="s">
        <v>256</v>
      </c>
      <c r="H191" s="42" t="s">
        <v>257</v>
      </c>
    </row>
    <row r="192" spans="2:10" ht="14">
      <c r="B192" s="43" t="s">
        <v>663</v>
      </c>
      <c r="C192" s="44">
        <v>80773</v>
      </c>
      <c r="D192" s="44">
        <v>75713</v>
      </c>
      <c r="E192" s="44">
        <v>72128</v>
      </c>
      <c r="F192" s="44">
        <v>75276</v>
      </c>
      <c r="G192" s="44">
        <v>82470</v>
      </c>
      <c r="H192" s="44">
        <v>106129</v>
      </c>
    </row>
    <row r="193" spans="2:10" ht="14">
      <c r="B193" s="47" t="s">
        <v>625</v>
      </c>
      <c r="C193" s="45">
        <v>42027</v>
      </c>
      <c r="D193" s="45">
        <v>41458</v>
      </c>
      <c r="E193" s="45">
        <v>38955</v>
      </c>
      <c r="F193" s="45">
        <v>39175</v>
      </c>
      <c r="G193" s="45">
        <v>43810</v>
      </c>
      <c r="H193" s="45">
        <v>57093</v>
      </c>
    </row>
    <row r="194" spans="2:10" ht="14">
      <c r="B194" s="47" t="s">
        <v>626</v>
      </c>
      <c r="C194" s="45">
        <v>38746</v>
      </c>
      <c r="D194" s="45">
        <v>34255</v>
      </c>
      <c r="E194" s="45">
        <v>33173</v>
      </c>
      <c r="F194" s="45">
        <v>36101</v>
      </c>
      <c r="G194" s="45">
        <v>38660</v>
      </c>
      <c r="H194" s="45">
        <v>49036</v>
      </c>
    </row>
    <row r="195" spans="2:10" ht="14.5">
      <c r="B195" s="167" t="s">
        <v>627</v>
      </c>
      <c r="C195" s="168">
        <v>0.52</v>
      </c>
      <c r="D195" s="168">
        <v>0.54800000000000004</v>
      </c>
      <c r="E195" s="168">
        <v>0.54</v>
      </c>
      <c r="F195" s="168">
        <v>0.52</v>
      </c>
      <c r="G195" s="168">
        <v>0.53100000000000003</v>
      </c>
      <c r="H195" s="168">
        <v>0.53800000000000003</v>
      </c>
    </row>
    <row r="196" spans="2:10" ht="14.5">
      <c r="B196" s="167" t="s">
        <v>628</v>
      </c>
      <c r="C196" s="168">
        <v>0.48</v>
      </c>
      <c r="D196" s="168">
        <v>0.45200000000000001</v>
      </c>
      <c r="E196" s="168">
        <v>0.46</v>
      </c>
      <c r="F196" s="168">
        <v>0.48</v>
      </c>
      <c r="G196" s="168">
        <v>0.46899999999999997</v>
      </c>
      <c r="H196" s="168">
        <v>0.46200000000000002</v>
      </c>
    </row>
    <row r="197" spans="2:10" ht="14">
      <c r="B197" s="43" t="s">
        <v>664</v>
      </c>
      <c r="C197" s="44">
        <v>30631</v>
      </c>
      <c r="D197" s="44">
        <v>28929</v>
      </c>
      <c r="E197" s="44">
        <v>26345</v>
      </c>
      <c r="F197" s="44">
        <v>27265</v>
      </c>
      <c r="G197" s="44">
        <v>32242</v>
      </c>
      <c r="H197" s="44">
        <v>31684</v>
      </c>
    </row>
    <row r="198" spans="2:10" ht="14">
      <c r="B198" s="47" t="s">
        <v>625</v>
      </c>
      <c r="C198" s="45">
        <v>19238</v>
      </c>
      <c r="D198" s="45">
        <v>19085</v>
      </c>
      <c r="E198" s="45">
        <v>17049</v>
      </c>
      <c r="F198" s="45">
        <v>17014</v>
      </c>
      <c r="G198" s="45">
        <v>19618</v>
      </c>
      <c r="H198" s="45">
        <v>19468</v>
      </c>
    </row>
    <row r="199" spans="2:10" ht="14">
      <c r="B199" s="47" t="s">
        <v>626</v>
      </c>
      <c r="C199" s="45">
        <v>11393</v>
      </c>
      <c r="D199" s="45">
        <v>9844</v>
      </c>
      <c r="E199" s="45">
        <v>9296</v>
      </c>
      <c r="F199" s="45">
        <v>10251</v>
      </c>
      <c r="G199" s="45">
        <v>12624</v>
      </c>
      <c r="H199" s="45">
        <v>12216</v>
      </c>
    </row>
    <row r="200" spans="2:10" ht="14.5">
      <c r="B200" s="167" t="s">
        <v>627</v>
      </c>
      <c r="C200" s="168">
        <v>0.628</v>
      </c>
      <c r="D200" s="168">
        <v>0.66</v>
      </c>
      <c r="E200" s="168">
        <v>0.64700000000000002</v>
      </c>
      <c r="F200" s="168">
        <v>0.624</v>
      </c>
      <c r="G200" s="168">
        <v>0.60799999999999998</v>
      </c>
      <c r="H200" s="168">
        <v>0.61399999999999999</v>
      </c>
    </row>
    <row r="201" spans="2:10" ht="14.5">
      <c r="B201" s="167" t="s">
        <v>628</v>
      </c>
      <c r="C201" s="168">
        <v>0.372</v>
      </c>
      <c r="D201" s="168">
        <v>0.34</v>
      </c>
      <c r="E201" s="168">
        <v>0.35299999999999998</v>
      </c>
      <c r="F201" s="168">
        <v>0.376</v>
      </c>
      <c r="G201" s="168">
        <v>0.39200000000000002</v>
      </c>
      <c r="H201" s="168">
        <v>0.38600000000000001</v>
      </c>
    </row>
    <row r="202" spans="2:10" ht="14">
      <c r="B202" s="43" t="s">
        <v>665</v>
      </c>
      <c r="C202" s="44">
        <v>50142</v>
      </c>
      <c r="D202" s="44">
        <v>46784</v>
      </c>
      <c r="E202" s="44">
        <v>45783</v>
      </c>
      <c r="F202" s="44">
        <v>48011</v>
      </c>
      <c r="G202" s="44">
        <v>50228</v>
      </c>
      <c r="H202" s="44">
        <v>74445</v>
      </c>
    </row>
    <row r="203" spans="2:10" ht="14">
      <c r="B203" s="47" t="s">
        <v>625</v>
      </c>
      <c r="C203" s="45">
        <v>22789</v>
      </c>
      <c r="D203" s="45">
        <v>22373</v>
      </c>
      <c r="E203" s="45">
        <v>21906</v>
      </c>
      <c r="F203" s="45">
        <v>22161</v>
      </c>
      <c r="G203" s="45">
        <v>24192</v>
      </c>
      <c r="H203" s="45">
        <v>37625</v>
      </c>
    </row>
    <row r="204" spans="2:10" ht="14">
      <c r="B204" s="47" t="s">
        <v>626</v>
      </c>
      <c r="C204" s="45">
        <v>27353</v>
      </c>
      <c r="D204" s="45">
        <v>24411</v>
      </c>
      <c r="E204" s="45">
        <v>23877</v>
      </c>
      <c r="F204" s="45">
        <v>25850</v>
      </c>
      <c r="G204" s="45">
        <v>26036</v>
      </c>
      <c r="H204" s="45">
        <v>36820</v>
      </c>
    </row>
    <row r="205" spans="2:10" ht="14.5">
      <c r="B205" s="167" t="s">
        <v>627</v>
      </c>
      <c r="C205" s="168">
        <v>0.45500000000000002</v>
      </c>
      <c r="D205" s="168">
        <v>0.47799999999999998</v>
      </c>
      <c r="E205" s="168">
        <v>0.47899999999999998</v>
      </c>
      <c r="F205" s="168">
        <v>0.46200000000000002</v>
      </c>
      <c r="G205" s="168">
        <v>0.48199999999999998</v>
      </c>
      <c r="H205" s="168">
        <v>0.505</v>
      </c>
    </row>
    <row r="206" spans="2:10" ht="14.5">
      <c r="B206" s="167" t="s">
        <v>628</v>
      </c>
      <c r="C206" s="168">
        <v>0.54600000000000004</v>
      </c>
      <c r="D206" s="168">
        <v>0.52200000000000002</v>
      </c>
      <c r="E206" s="168">
        <v>0.52200000000000002</v>
      </c>
      <c r="F206" s="168">
        <v>0.53800000000000003</v>
      </c>
      <c r="G206" s="168">
        <v>0.51800000000000002</v>
      </c>
      <c r="H206" s="168">
        <v>0.495</v>
      </c>
    </row>
    <row r="207" spans="2:10" s="29" customFormat="1" ht="14">
      <c r="B207" s="81" t="s">
        <v>265</v>
      </c>
      <c r="C207" s="82"/>
      <c r="D207" s="82"/>
      <c r="E207" s="82"/>
      <c r="F207" s="82"/>
      <c r="G207" s="82"/>
      <c r="H207" s="448"/>
      <c r="J207" s="82"/>
    </row>
    <row r="208" spans="2:10" ht="14">
      <c r="B208" s="87"/>
    </row>
    <row r="209" spans="2:8" ht="15.5">
      <c r="B209" s="49" t="s">
        <v>55</v>
      </c>
    </row>
    <row r="210" spans="2:8" ht="14">
      <c r="B210" s="160" t="s">
        <v>376</v>
      </c>
      <c r="C210" s="161">
        <v>2017</v>
      </c>
      <c r="D210" s="42">
        <v>2018</v>
      </c>
      <c r="E210" s="42">
        <v>2019</v>
      </c>
      <c r="F210" s="42" t="s">
        <v>335</v>
      </c>
      <c r="G210" s="161" t="s">
        <v>256</v>
      </c>
      <c r="H210" s="161" t="s">
        <v>257</v>
      </c>
    </row>
    <row r="211" spans="2:8" ht="15.5">
      <c r="B211" s="43" t="s">
        <v>624</v>
      </c>
      <c r="C211" s="44">
        <v>152015</v>
      </c>
      <c r="D211" s="44">
        <v>132365</v>
      </c>
      <c r="E211" s="44">
        <v>127117</v>
      </c>
      <c r="F211" s="44">
        <v>127054</v>
      </c>
      <c r="G211" s="44">
        <v>116028</v>
      </c>
      <c r="H211" s="97">
        <v>109196</v>
      </c>
    </row>
    <row r="212" spans="2:8" ht="15.5">
      <c r="B212" s="47" t="s">
        <v>625</v>
      </c>
      <c r="C212" s="45">
        <v>61556</v>
      </c>
      <c r="D212" s="45">
        <v>51220</v>
      </c>
      <c r="E212" s="45">
        <v>49096</v>
      </c>
      <c r="F212" s="45">
        <v>44776</v>
      </c>
      <c r="G212" s="45">
        <v>44097</v>
      </c>
      <c r="H212" s="35">
        <v>38700</v>
      </c>
    </row>
    <row r="213" spans="2:8" ht="15.5">
      <c r="B213" s="47" t="s">
        <v>626</v>
      </c>
      <c r="C213" s="45">
        <v>90459</v>
      </c>
      <c r="D213" s="45">
        <v>81145</v>
      </c>
      <c r="E213" s="45">
        <v>78021</v>
      </c>
      <c r="F213" s="45">
        <v>82278</v>
      </c>
      <c r="G213" s="45">
        <v>71931</v>
      </c>
      <c r="H213" s="35">
        <v>70496</v>
      </c>
    </row>
    <row r="214" spans="2:8" ht="15.5">
      <c r="B214" s="167" t="s">
        <v>627</v>
      </c>
      <c r="C214" s="168">
        <v>0.40500000000000003</v>
      </c>
      <c r="D214" s="168">
        <v>0.38700000000000001</v>
      </c>
      <c r="E214" s="168">
        <v>0.38600000000000001</v>
      </c>
      <c r="F214" s="168">
        <v>0.35199999999999998</v>
      </c>
      <c r="G214" s="317">
        <v>0.38</v>
      </c>
      <c r="H214" s="200">
        <v>0.35440858639510603</v>
      </c>
    </row>
    <row r="215" spans="2:8" ht="15.5">
      <c r="B215" s="167" t="s">
        <v>628</v>
      </c>
      <c r="C215" s="168">
        <v>0.59499999999999997</v>
      </c>
      <c r="D215" s="168">
        <v>0.61299999999999999</v>
      </c>
      <c r="E215" s="168">
        <v>0.61399999999999999</v>
      </c>
      <c r="F215" s="168">
        <v>0.64800000000000002</v>
      </c>
      <c r="G215" s="317">
        <v>0.62</v>
      </c>
      <c r="H215" s="200">
        <v>0.64559141360489392</v>
      </c>
    </row>
    <row r="216" spans="2:8" ht="15.5">
      <c r="B216" s="43" t="s">
        <v>666</v>
      </c>
      <c r="C216" s="44">
        <v>43791</v>
      </c>
      <c r="D216" s="44">
        <v>37020</v>
      </c>
      <c r="E216" s="44">
        <v>41738</v>
      </c>
      <c r="F216" s="44">
        <v>54321</v>
      </c>
      <c r="G216" s="44">
        <v>55152</v>
      </c>
      <c r="H216" s="97">
        <v>47302</v>
      </c>
    </row>
    <row r="217" spans="2:8" ht="15.5">
      <c r="B217" s="47" t="s">
        <v>625</v>
      </c>
      <c r="C217" s="45">
        <v>17431</v>
      </c>
      <c r="D217" s="45">
        <v>14169</v>
      </c>
      <c r="E217" s="45">
        <v>16312</v>
      </c>
      <c r="F217" s="45">
        <v>19468</v>
      </c>
      <c r="G217" s="45">
        <v>22593</v>
      </c>
      <c r="H217" s="35">
        <v>16983</v>
      </c>
    </row>
    <row r="218" spans="2:8" ht="15.5">
      <c r="B218" s="47" t="s">
        <v>626</v>
      </c>
      <c r="C218" s="45">
        <v>26360</v>
      </c>
      <c r="D218" s="45">
        <v>22851</v>
      </c>
      <c r="E218" s="45">
        <v>25426</v>
      </c>
      <c r="F218" s="45">
        <v>34853</v>
      </c>
      <c r="G218" s="45">
        <v>32559</v>
      </c>
      <c r="H218" s="35">
        <v>30319</v>
      </c>
    </row>
    <row r="219" spans="2:8" ht="15.5">
      <c r="B219" s="43" t="s">
        <v>667</v>
      </c>
      <c r="C219" s="44">
        <v>73181</v>
      </c>
      <c r="D219" s="44">
        <v>77259</v>
      </c>
      <c r="E219" s="44">
        <v>62818</v>
      </c>
      <c r="F219" s="44">
        <v>59047</v>
      </c>
      <c r="G219" s="44">
        <v>54380</v>
      </c>
      <c r="H219" s="97">
        <v>56639</v>
      </c>
    </row>
    <row r="220" spans="2:8" ht="15.5">
      <c r="B220" s="47" t="s">
        <v>625</v>
      </c>
      <c r="C220" s="45">
        <v>29226</v>
      </c>
      <c r="D220" s="45">
        <v>30020</v>
      </c>
      <c r="E220" s="45">
        <v>24068</v>
      </c>
      <c r="F220" s="45">
        <v>20718</v>
      </c>
      <c r="G220" s="45">
        <v>19508</v>
      </c>
      <c r="H220" s="35">
        <v>20151</v>
      </c>
    </row>
    <row r="221" spans="2:8" ht="15.5">
      <c r="B221" s="47" t="s">
        <v>626</v>
      </c>
      <c r="C221" s="45">
        <v>43955</v>
      </c>
      <c r="D221" s="45">
        <v>47239</v>
      </c>
      <c r="E221" s="45">
        <v>38750</v>
      </c>
      <c r="F221" s="45">
        <v>38329</v>
      </c>
      <c r="G221" s="45">
        <v>34872</v>
      </c>
      <c r="H221" s="35">
        <v>36488</v>
      </c>
    </row>
    <row r="222" spans="2:8" ht="15.5">
      <c r="B222" s="43" t="s">
        <v>668</v>
      </c>
      <c r="C222" s="44">
        <v>35043</v>
      </c>
      <c r="D222" s="44">
        <v>18086</v>
      </c>
      <c r="E222" s="44">
        <v>22561</v>
      </c>
      <c r="F222" s="44">
        <v>13686</v>
      </c>
      <c r="G222" s="44">
        <v>6496</v>
      </c>
      <c r="H222" s="97">
        <v>5255</v>
      </c>
    </row>
    <row r="223" spans="2:8" ht="15.5">
      <c r="B223" s="47" t="s">
        <v>625</v>
      </c>
      <c r="C223" s="45">
        <v>14899</v>
      </c>
      <c r="D223" s="45">
        <v>7031</v>
      </c>
      <c r="E223" s="45">
        <v>8716</v>
      </c>
      <c r="F223" s="45">
        <v>4590</v>
      </c>
      <c r="G223" s="45">
        <v>1996</v>
      </c>
      <c r="H223" s="35">
        <v>1566</v>
      </c>
    </row>
    <row r="224" spans="2:8" ht="15.5">
      <c r="B224" s="47" t="s">
        <v>626</v>
      </c>
      <c r="C224" s="45">
        <v>20144</v>
      </c>
      <c r="D224" s="45">
        <v>11055</v>
      </c>
      <c r="E224" s="45">
        <v>13845</v>
      </c>
      <c r="F224" s="45">
        <v>9096</v>
      </c>
      <c r="G224" s="45">
        <v>4500</v>
      </c>
      <c r="H224" s="35">
        <v>3689</v>
      </c>
    </row>
    <row r="225" spans="2:10" s="29" customFormat="1" ht="14">
      <c r="B225" s="21" t="s">
        <v>278</v>
      </c>
      <c r="H225" s="448"/>
      <c r="J225" s="82"/>
    </row>
    <row r="226" spans="2:10" ht="14">
      <c r="B226" s="174" t="s">
        <v>314</v>
      </c>
    </row>
    <row r="227" spans="2:10" ht="15.5">
      <c r="B227" s="175" t="s">
        <v>56</v>
      </c>
      <c r="C227" s="27"/>
    </row>
    <row r="228" spans="2:10" ht="15.5">
      <c r="B228" s="176" t="s">
        <v>314</v>
      </c>
    </row>
    <row r="229" spans="2:10" ht="15.5">
      <c r="B229" s="49" t="s">
        <v>669</v>
      </c>
    </row>
    <row r="230" spans="2:10" ht="15.5">
      <c r="B230" s="71" t="s">
        <v>490</v>
      </c>
      <c r="C230" s="95" t="s">
        <v>670</v>
      </c>
      <c r="D230" s="71">
        <v>2017</v>
      </c>
      <c r="E230" s="71">
        <v>2018</v>
      </c>
      <c r="F230" s="71">
        <v>2019</v>
      </c>
      <c r="G230" s="71" t="s">
        <v>335</v>
      </c>
      <c r="H230" s="71" t="s">
        <v>256</v>
      </c>
      <c r="I230" s="71" t="s">
        <v>257</v>
      </c>
    </row>
    <row r="231" spans="2:10" ht="15.5">
      <c r="B231" s="841" t="s">
        <v>492</v>
      </c>
      <c r="C231" s="96" t="s">
        <v>415</v>
      </c>
      <c r="D231" s="97">
        <v>493786</v>
      </c>
      <c r="E231" s="97">
        <v>517243</v>
      </c>
      <c r="F231" s="97">
        <v>494212</v>
      </c>
      <c r="G231" s="97">
        <v>774777</v>
      </c>
      <c r="H231" s="97">
        <v>690797</v>
      </c>
      <c r="I231" s="97">
        <v>757355</v>
      </c>
    </row>
    <row r="232" spans="2:10" ht="15.5">
      <c r="B232" s="841"/>
      <c r="C232" s="180" t="s">
        <v>625</v>
      </c>
      <c r="D232" s="35">
        <v>255953</v>
      </c>
      <c r="E232" s="35">
        <v>268745</v>
      </c>
      <c r="F232" s="35">
        <v>256655</v>
      </c>
      <c r="G232" s="35">
        <v>394442</v>
      </c>
      <c r="H232" s="35">
        <v>364379</v>
      </c>
      <c r="I232" s="35">
        <v>404865</v>
      </c>
    </row>
    <row r="233" spans="2:10" ht="15.5">
      <c r="B233" s="841"/>
      <c r="C233" s="180" t="s">
        <v>626</v>
      </c>
      <c r="D233" s="35">
        <v>237833</v>
      </c>
      <c r="E233" s="35">
        <v>248498</v>
      </c>
      <c r="F233" s="35">
        <v>237557</v>
      </c>
      <c r="G233" s="35">
        <v>380335</v>
      </c>
      <c r="H233" s="35">
        <v>326418</v>
      </c>
      <c r="I233" s="35">
        <v>352490</v>
      </c>
    </row>
    <row r="234" spans="2:10" ht="15.5">
      <c r="B234" s="841" t="s">
        <v>493</v>
      </c>
      <c r="C234" s="96" t="s">
        <v>415</v>
      </c>
      <c r="D234" s="97">
        <v>533724</v>
      </c>
      <c r="E234" s="97">
        <v>461499</v>
      </c>
      <c r="F234" s="97">
        <v>465591</v>
      </c>
      <c r="G234" s="97">
        <v>446437</v>
      </c>
      <c r="H234" s="97">
        <v>634011</v>
      </c>
      <c r="I234" s="97">
        <v>594675</v>
      </c>
    </row>
    <row r="235" spans="2:10" ht="15.5">
      <c r="B235" s="841"/>
      <c r="C235" s="180" t="s">
        <v>625</v>
      </c>
      <c r="D235" s="35">
        <v>278399</v>
      </c>
      <c r="E235" s="35">
        <v>239865</v>
      </c>
      <c r="F235" s="35">
        <v>241597</v>
      </c>
      <c r="G235" s="35">
        <v>229520</v>
      </c>
      <c r="H235" s="35">
        <v>324752</v>
      </c>
      <c r="I235" s="35">
        <v>312857</v>
      </c>
    </row>
    <row r="236" spans="2:10" ht="15.5">
      <c r="B236" s="841"/>
      <c r="C236" s="180" t="s">
        <v>626</v>
      </c>
      <c r="D236" s="35">
        <v>255325</v>
      </c>
      <c r="E236" s="35">
        <v>221634</v>
      </c>
      <c r="F236" s="35">
        <v>223994</v>
      </c>
      <c r="G236" s="35">
        <v>216917</v>
      </c>
      <c r="H236" s="35">
        <v>309259</v>
      </c>
      <c r="I236" s="35">
        <v>281818</v>
      </c>
    </row>
    <row r="237" spans="2:10" ht="15.5">
      <c r="B237" s="841" t="s">
        <v>494</v>
      </c>
      <c r="C237" s="96" t="s">
        <v>415</v>
      </c>
      <c r="D237" s="97">
        <v>478937</v>
      </c>
      <c r="E237" s="97">
        <v>452745</v>
      </c>
      <c r="F237" s="97">
        <v>428101</v>
      </c>
      <c r="G237" s="97">
        <v>427881</v>
      </c>
      <c r="H237" s="97">
        <v>416259</v>
      </c>
      <c r="I237" s="97">
        <v>521909</v>
      </c>
    </row>
    <row r="238" spans="2:10" ht="15.5">
      <c r="B238" s="841"/>
      <c r="C238" s="180" t="s">
        <v>625</v>
      </c>
      <c r="D238" s="35">
        <v>245021</v>
      </c>
      <c r="E238" s="35">
        <v>233530</v>
      </c>
      <c r="F238" s="35">
        <v>220463</v>
      </c>
      <c r="G238" s="35">
        <v>218078</v>
      </c>
      <c r="H238" s="35">
        <v>212456</v>
      </c>
      <c r="I238" s="35">
        <v>261917</v>
      </c>
    </row>
    <row r="239" spans="2:10" ht="15.5">
      <c r="B239" s="841"/>
      <c r="C239" s="180" t="s">
        <v>626</v>
      </c>
      <c r="D239" s="35">
        <v>233916</v>
      </c>
      <c r="E239" s="35">
        <v>219215</v>
      </c>
      <c r="F239" s="35">
        <v>207638</v>
      </c>
      <c r="G239" s="35">
        <v>209803</v>
      </c>
      <c r="H239" s="35">
        <v>203803</v>
      </c>
      <c r="I239" s="35">
        <v>259992</v>
      </c>
    </row>
    <row r="240" spans="2:10" ht="15.5">
      <c r="B240" s="841" t="s">
        <v>495</v>
      </c>
      <c r="C240" s="96" t="s">
        <v>415</v>
      </c>
      <c r="D240" s="97">
        <v>421915</v>
      </c>
      <c r="E240" s="97">
        <v>429412</v>
      </c>
      <c r="F240" s="97">
        <v>423894</v>
      </c>
      <c r="G240" s="97">
        <v>398579</v>
      </c>
      <c r="H240" s="97">
        <v>396724</v>
      </c>
      <c r="I240" s="97">
        <v>403307</v>
      </c>
    </row>
    <row r="241" spans="2:10" ht="15.5">
      <c r="B241" s="841"/>
      <c r="C241" s="180" t="s">
        <v>625</v>
      </c>
      <c r="D241" s="35">
        <v>208425</v>
      </c>
      <c r="E241" s="35">
        <v>214819</v>
      </c>
      <c r="F241" s="35">
        <v>215066</v>
      </c>
      <c r="G241" s="35">
        <v>200534</v>
      </c>
      <c r="H241" s="35">
        <v>197465</v>
      </c>
      <c r="I241" s="35">
        <v>200776</v>
      </c>
    </row>
    <row r="242" spans="2:10" ht="15.5">
      <c r="B242" s="841"/>
      <c r="C242" s="180" t="s">
        <v>626</v>
      </c>
      <c r="D242" s="35">
        <v>213490</v>
      </c>
      <c r="E242" s="35">
        <v>214593</v>
      </c>
      <c r="F242" s="35">
        <v>208828</v>
      </c>
      <c r="G242" s="35">
        <v>198045</v>
      </c>
      <c r="H242" s="35">
        <v>199259</v>
      </c>
      <c r="I242" s="35">
        <v>202531</v>
      </c>
    </row>
    <row r="243" spans="2:10" ht="15.5">
      <c r="B243" s="841" t="s">
        <v>496</v>
      </c>
      <c r="C243" s="96" t="s">
        <v>415</v>
      </c>
      <c r="D243" s="97">
        <v>367509</v>
      </c>
      <c r="E243" s="97">
        <v>382746</v>
      </c>
      <c r="F243" s="97">
        <v>400713</v>
      </c>
      <c r="G243" s="97">
        <v>393326</v>
      </c>
      <c r="H243" s="97">
        <v>377208</v>
      </c>
      <c r="I243" s="97">
        <v>376098</v>
      </c>
    </row>
    <row r="244" spans="2:10" ht="15.5">
      <c r="B244" s="841"/>
      <c r="C244" s="180" t="s">
        <v>625</v>
      </c>
      <c r="D244" s="35">
        <v>174152</v>
      </c>
      <c r="E244" s="35">
        <v>183634</v>
      </c>
      <c r="F244" s="35">
        <v>196043</v>
      </c>
      <c r="G244" s="35">
        <v>193151</v>
      </c>
      <c r="H244" s="35">
        <v>182753</v>
      </c>
      <c r="I244" s="35">
        <v>181940</v>
      </c>
    </row>
    <row r="245" spans="2:10" ht="15.5">
      <c r="B245" s="841"/>
      <c r="C245" s="180" t="s">
        <v>626</v>
      </c>
      <c r="D245" s="35">
        <v>193357</v>
      </c>
      <c r="E245" s="35">
        <v>199112</v>
      </c>
      <c r="F245" s="35">
        <v>204670</v>
      </c>
      <c r="G245" s="35">
        <v>200175</v>
      </c>
      <c r="H245" s="35">
        <v>194455</v>
      </c>
      <c r="I245" s="35">
        <v>194158</v>
      </c>
    </row>
    <row r="246" spans="2:10" ht="15.5">
      <c r="B246" s="841" t="s">
        <v>497</v>
      </c>
      <c r="C246" s="96" t="s">
        <v>415</v>
      </c>
      <c r="D246" s="97">
        <v>244503</v>
      </c>
      <c r="E246" s="97">
        <v>260060</v>
      </c>
      <c r="F246" s="97">
        <v>299954</v>
      </c>
      <c r="G246" s="97">
        <v>288116</v>
      </c>
      <c r="H246" s="97">
        <v>227552</v>
      </c>
      <c r="I246" s="97">
        <v>184999</v>
      </c>
    </row>
    <row r="247" spans="2:10" ht="15.5">
      <c r="B247" s="841"/>
      <c r="C247" s="180" t="s">
        <v>625</v>
      </c>
      <c r="D247" s="35">
        <v>110892</v>
      </c>
      <c r="E247" s="35">
        <v>118751</v>
      </c>
      <c r="F247" s="35">
        <v>139172</v>
      </c>
      <c r="G247" s="35">
        <v>134297</v>
      </c>
      <c r="H247" s="35">
        <v>102527</v>
      </c>
      <c r="I247" s="35">
        <v>83057</v>
      </c>
    </row>
    <row r="248" spans="2:10" ht="15.5">
      <c r="B248" s="841"/>
      <c r="C248" s="180" t="s">
        <v>626</v>
      </c>
      <c r="D248" s="35">
        <v>133611</v>
      </c>
      <c r="E248" s="35">
        <v>141309</v>
      </c>
      <c r="F248" s="35">
        <v>160782</v>
      </c>
      <c r="G248" s="35">
        <v>153819</v>
      </c>
      <c r="H248" s="35">
        <v>125025</v>
      </c>
      <c r="I248" s="35">
        <v>101942</v>
      </c>
    </row>
    <row r="249" spans="2:10" s="29" customFormat="1" ht="14">
      <c r="B249" s="133" t="s">
        <v>419</v>
      </c>
      <c r="H249" s="448"/>
      <c r="J249" s="82"/>
    </row>
    <row r="251" spans="2:10" ht="15.5">
      <c r="B251" s="49" t="s">
        <v>671</v>
      </c>
      <c r="C251"/>
      <c r="D251"/>
      <c r="E251"/>
      <c r="F251"/>
      <c r="G251"/>
      <c r="H251" s="19"/>
    </row>
    <row r="252" spans="2:10" ht="15.5">
      <c r="B252" s="95" t="s">
        <v>376</v>
      </c>
      <c r="C252" s="95" t="s">
        <v>670</v>
      </c>
      <c r="D252" s="71">
        <v>2017</v>
      </c>
      <c r="E252" s="71">
        <v>2018</v>
      </c>
      <c r="F252" s="71">
        <v>2019</v>
      </c>
      <c r="G252" s="71" t="s">
        <v>335</v>
      </c>
      <c r="H252" s="71" t="s">
        <v>256</v>
      </c>
      <c r="I252" s="71" t="s">
        <v>257</v>
      </c>
    </row>
    <row r="253" spans="2:10" ht="15.5">
      <c r="B253" s="840" t="s">
        <v>672</v>
      </c>
      <c r="C253" s="96" t="s">
        <v>415</v>
      </c>
      <c r="D253" s="97">
        <v>155889</v>
      </c>
      <c r="E253" s="97">
        <v>184327</v>
      </c>
      <c r="F253" s="97">
        <v>197464</v>
      </c>
      <c r="G253" s="97">
        <v>217514</v>
      </c>
      <c r="H253" s="97">
        <v>222655</v>
      </c>
      <c r="I253" s="97">
        <v>225454</v>
      </c>
    </row>
    <row r="254" spans="2:10" ht="15.5">
      <c r="B254" s="840"/>
      <c r="C254" s="180" t="s">
        <v>625</v>
      </c>
      <c r="D254" s="35">
        <v>71441</v>
      </c>
      <c r="E254" s="35">
        <v>84790</v>
      </c>
      <c r="F254" s="35">
        <v>90632</v>
      </c>
      <c r="G254" s="35">
        <v>100783</v>
      </c>
      <c r="H254" s="35">
        <v>103005</v>
      </c>
      <c r="I254" s="35">
        <v>103805</v>
      </c>
    </row>
    <row r="255" spans="2:10" ht="15.5">
      <c r="B255" s="840"/>
      <c r="C255" s="180" t="s">
        <v>626</v>
      </c>
      <c r="D255" s="35">
        <v>84448</v>
      </c>
      <c r="E255" s="35">
        <v>99537</v>
      </c>
      <c r="F255" s="35">
        <v>106832</v>
      </c>
      <c r="G255" s="35">
        <v>116731</v>
      </c>
      <c r="H255" s="35">
        <v>119650</v>
      </c>
      <c r="I255" s="35">
        <v>121649</v>
      </c>
    </row>
    <row r="256" spans="2:10" ht="15.5">
      <c r="B256" s="840" t="s">
        <v>673</v>
      </c>
      <c r="C256" s="96" t="s">
        <v>415</v>
      </c>
      <c r="D256" s="97">
        <v>126132</v>
      </c>
      <c r="E256" s="97">
        <v>137503</v>
      </c>
      <c r="F256" s="97">
        <v>164610</v>
      </c>
      <c r="G256" s="97">
        <v>174014</v>
      </c>
      <c r="H256" s="97">
        <v>192712</v>
      </c>
      <c r="I256" s="97">
        <v>205797</v>
      </c>
    </row>
    <row r="257" spans="2:10" ht="15.5">
      <c r="B257" s="840"/>
      <c r="C257" s="180" t="s">
        <v>625</v>
      </c>
      <c r="D257" s="35">
        <v>58353</v>
      </c>
      <c r="E257" s="35">
        <v>62972</v>
      </c>
      <c r="F257" s="35">
        <v>74950</v>
      </c>
      <c r="G257" s="35">
        <v>79310</v>
      </c>
      <c r="H257" s="35">
        <v>86907</v>
      </c>
      <c r="I257" s="35">
        <v>93134</v>
      </c>
    </row>
    <row r="258" spans="2:10" ht="15.5">
      <c r="B258" s="840"/>
      <c r="C258" s="180" t="s">
        <v>626</v>
      </c>
      <c r="D258" s="35">
        <v>67779</v>
      </c>
      <c r="E258" s="35">
        <v>74531</v>
      </c>
      <c r="F258" s="35">
        <v>89660</v>
      </c>
      <c r="G258" s="35">
        <v>94704</v>
      </c>
      <c r="H258" s="35">
        <v>105805</v>
      </c>
      <c r="I258" s="35">
        <v>112663</v>
      </c>
    </row>
    <row r="259" spans="2:10" ht="15.5">
      <c r="B259" s="840" t="s">
        <v>674</v>
      </c>
      <c r="C259" s="96" t="s">
        <v>415</v>
      </c>
      <c r="D259" s="97">
        <v>100640</v>
      </c>
      <c r="E259" s="97">
        <v>100263</v>
      </c>
      <c r="F259" s="97">
        <v>119064</v>
      </c>
      <c r="G259" s="97">
        <v>130103</v>
      </c>
      <c r="H259" s="97">
        <v>125267</v>
      </c>
      <c r="I259" s="97">
        <v>105176</v>
      </c>
    </row>
    <row r="260" spans="2:10" ht="15.5">
      <c r="B260" s="840"/>
      <c r="C260" s="180" t="s">
        <v>625</v>
      </c>
      <c r="D260" s="35">
        <v>47003</v>
      </c>
      <c r="E260" s="35">
        <v>46552</v>
      </c>
      <c r="F260" s="35">
        <v>54333</v>
      </c>
      <c r="G260" s="35">
        <v>59381</v>
      </c>
      <c r="H260" s="35">
        <v>55928</v>
      </c>
      <c r="I260" s="35">
        <v>46342</v>
      </c>
    </row>
    <row r="261" spans="2:10" ht="15.5">
      <c r="B261" s="840"/>
      <c r="C261" s="180" t="s">
        <v>626</v>
      </c>
      <c r="D261" s="35">
        <v>53637</v>
      </c>
      <c r="E261" s="35">
        <v>53711</v>
      </c>
      <c r="F261" s="35">
        <v>64731</v>
      </c>
      <c r="G261" s="35">
        <v>70722</v>
      </c>
      <c r="H261" s="35">
        <v>69339</v>
      </c>
      <c r="I261" s="35">
        <v>58834</v>
      </c>
    </row>
    <row r="262" spans="2:10" s="29" customFormat="1" ht="14.5">
      <c r="B262" s="156" t="s">
        <v>675</v>
      </c>
      <c r="C262"/>
      <c r="D262"/>
      <c r="E262"/>
      <c r="F262"/>
      <c r="G262"/>
      <c r="H262" s="19"/>
      <c r="J262" s="82"/>
    </row>
    <row r="263" spans="2:10" ht="14.5">
      <c r="B263" s="87"/>
      <c r="C263"/>
      <c r="D263"/>
      <c r="E263"/>
      <c r="F263"/>
      <c r="G263"/>
      <c r="H263" s="19"/>
    </row>
    <row r="264" spans="2:10" ht="15.5">
      <c r="B264" s="49" t="s">
        <v>676</v>
      </c>
      <c r="C264"/>
      <c r="D264"/>
      <c r="E264"/>
      <c r="F264"/>
      <c r="G264"/>
      <c r="H264" s="19"/>
    </row>
    <row r="265" spans="2:10" ht="15.5">
      <c r="B265" s="95" t="s">
        <v>376</v>
      </c>
      <c r="C265" s="95" t="s">
        <v>670</v>
      </c>
      <c r="D265" s="71">
        <v>2017</v>
      </c>
      <c r="E265" s="71">
        <v>2018</v>
      </c>
      <c r="F265" s="71">
        <v>2019</v>
      </c>
      <c r="G265" s="71" t="s">
        <v>335</v>
      </c>
      <c r="H265" s="71" t="s">
        <v>256</v>
      </c>
      <c r="I265" s="71" t="s">
        <v>257</v>
      </c>
    </row>
    <row r="266" spans="2:10" ht="15.5">
      <c r="B266" s="840" t="s">
        <v>677</v>
      </c>
      <c r="C266" s="96" t="s">
        <v>415</v>
      </c>
      <c r="D266" s="97">
        <v>56446</v>
      </c>
      <c r="E266" s="97">
        <v>60842</v>
      </c>
      <c r="F266" s="97">
        <v>62368</v>
      </c>
      <c r="G266" s="97">
        <v>65486</v>
      </c>
      <c r="H266" s="97">
        <v>73678</v>
      </c>
      <c r="I266" s="97">
        <v>71085</v>
      </c>
    </row>
    <row r="267" spans="2:10" ht="15.5">
      <c r="B267" s="840"/>
      <c r="C267" s="180" t="s">
        <v>625</v>
      </c>
      <c r="D267" s="35">
        <v>24925</v>
      </c>
      <c r="E267" s="35">
        <v>27162</v>
      </c>
      <c r="F267" s="35">
        <v>27830</v>
      </c>
      <c r="G267" s="35">
        <v>28225</v>
      </c>
      <c r="H267" s="35">
        <v>30178</v>
      </c>
      <c r="I267" s="35">
        <v>28412</v>
      </c>
    </row>
    <row r="268" spans="2:10" ht="15.5">
      <c r="B268" s="840"/>
      <c r="C268" s="180" t="s">
        <v>626</v>
      </c>
      <c r="D268" s="35">
        <v>31521</v>
      </c>
      <c r="E268" s="35">
        <v>33680</v>
      </c>
      <c r="F268" s="35">
        <v>34538</v>
      </c>
      <c r="G268" s="35">
        <v>37261</v>
      </c>
      <c r="H268" s="35">
        <v>43500</v>
      </c>
      <c r="I268" s="35">
        <v>42673</v>
      </c>
    </row>
    <row r="269" spans="2:10" ht="15.5">
      <c r="B269" s="840" t="s">
        <v>678</v>
      </c>
      <c r="C269" s="96" t="s">
        <v>415</v>
      </c>
      <c r="D269" s="97">
        <v>48551</v>
      </c>
      <c r="E269" s="97">
        <v>51525</v>
      </c>
      <c r="F269" s="97">
        <v>56346</v>
      </c>
      <c r="G269" s="97">
        <v>55320</v>
      </c>
      <c r="H269" s="97">
        <v>61987</v>
      </c>
      <c r="I269" s="97">
        <v>67526</v>
      </c>
    </row>
    <row r="270" spans="2:10" ht="15.5">
      <c r="B270" s="840"/>
      <c r="C270" s="180" t="s">
        <v>625</v>
      </c>
      <c r="D270" s="35">
        <v>21757</v>
      </c>
      <c r="E270" s="35">
        <v>23064</v>
      </c>
      <c r="F270" s="35">
        <v>25175</v>
      </c>
      <c r="G270" s="35">
        <v>24968</v>
      </c>
      <c r="H270" s="35">
        <v>25464</v>
      </c>
      <c r="I270" s="35">
        <v>27244</v>
      </c>
    </row>
    <row r="271" spans="2:10" ht="15.5">
      <c r="B271" s="840"/>
      <c r="C271" s="180" t="s">
        <v>626</v>
      </c>
      <c r="D271" s="35">
        <v>26794</v>
      </c>
      <c r="E271" s="35">
        <v>28461</v>
      </c>
      <c r="F271" s="35">
        <v>31171</v>
      </c>
      <c r="G271" s="35">
        <v>30352</v>
      </c>
      <c r="H271" s="35">
        <v>36523</v>
      </c>
      <c r="I271" s="35">
        <v>40282</v>
      </c>
    </row>
    <row r="272" spans="2:10" ht="15.5">
      <c r="B272" s="840" t="s">
        <v>679</v>
      </c>
      <c r="C272" s="96" t="s">
        <v>415</v>
      </c>
      <c r="D272" s="97">
        <v>43719</v>
      </c>
      <c r="E272" s="97">
        <v>44437</v>
      </c>
      <c r="F272" s="97">
        <v>49095</v>
      </c>
      <c r="G272" s="97">
        <v>51188</v>
      </c>
      <c r="H272" s="97">
        <v>53995</v>
      </c>
      <c r="I272" s="97">
        <v>54960</v>
      </c>
    </row>
    <row r="273" spans="2:9" ht="15.5">
      <c r="B273" s="840"/>
      <c r="C273" s="180" t="s">
        <v>625</v>
      </c>
      <c r="D273" s="35">
        <v>19566</v>
      </c>
      <c r="E273" s="35">
        <v>20242</v>
      </c>
      <c r="F273" s="35">
        <v>22198</v>
      </c>
      <c r="G273" s="35">
        <v>23029</v>
      </c>
      <c r="H273" s="35">
        <v>23556</v>
      </c>
      <c r="I273" s="35">
        <v>23043</v>
      </c>
    </row>
    <row r="274" spans="2:9" ht="15.5">
      <c r="B274" s="840"/>
      <c r="C274" s="180" t="s">
        <v>626</v>
      </c>
      <c r="D274" s="35">
        <v>24153</v>
      </c>
      <c r="E274" s="35">
        <v>24195</v>
      </c>
      <c r="F274" s="35">
        <v>26897</v>
      </c>
      <c r="G274" s="35">
        <v>28159</v>
      </c>
      <c r="H274" s="35">
        <v>30439</v>
      </c>
      <c r="I274" s="35">
        <v>31917</v>
      </c>
    </row>
    <row r="275" spans="2:9" s="29" customFormat="1" ht="14.5">
      <c r="B275" s="156" t="s">
        <v>675</v>
      </c>
      <c r="C275"/>
      <c r="D275"/>
      <c r="E275"/>
      <c r="F275"/>
      <c r="G275"/>
      <c r="H275" s="19"/>
    </row>
    <row r="277" spans="2:9" ht="31">
      <c r="B277" s="48" t="s">
        <v>680</v>
      </c>
      <c r="C277"/>
      <c r="D277"/>
      <c r="E277"/>
      <c r="F277"/>
      <c r="G277"/>
    </row>
    <row r="278" spans="2:9" ht="15.5">
      <c r="B278" s="95" t="s">
        <v>681</v>
      </c>
      <c r="C278" s="71">
        <v>2017</v>
      </c>
      <c r="D278" s="71">
        <v>2018</v>
      </c>
      <c r="E278" s="71">
        <v>2019</v>
      </c>
      <c r="F278" s="71" t="s">
        <v>335</v>
      </c>
      <c r="G278" s="71" t="s">
        <v>256</v>
      </c>
      <c r="H278" s="71" t="s">
        <v>257</v>
      </c>
    </row>
    <row r="279" spans="2:9" ht="15.5">
      <c r="B279" s="74" t="s">
        <v>649</v>
      </c>
      <c r="C279" s="79">
        <v>107501</v>
      </c>
      <c r="D279" s="79">
        <v>102485</v>
      </c>
      <c r="E279" s="79">
        <v>107167</v>
      </c>
      <c r="F279" s="79">
        <v>110954</v>
      </c>
      <c r="G279" s="79">
        <v>132727</v>
      </c>
      <c r="H279" s="79">
        <v>131755</v>
      </c>
    </row>
    <row r="280" spans="2:9" ht="15.5">
      <c r="B280" s="76" t="s">
        <v>625</v>
      </c>
      <c r="C280" s="35">
        <v>65327</v>
      </c>
      <c r="D280" s="35">
        <v>57643</v>
      </c>
      <c r="E280" s="35">
        <v>63138</v>
      </c>
      <c r="F280" s="35">
        <v>63008</v>
      </c>
      <c r="G280" s="35">
        <v>75496</v>
      </c>
      <c r="H280" s="525">
        <v>74367</v>
      </c>
    </row>
    <row r="281" spans="2:9" ht="15.5">
      <c r="B281" s="76" t="s">
        <v>626</v>
      </c>
      <c r="C281" s="35">
        <v>42174</v>
      </c>
      <c r="D281" s="35">
        <v>44842</v>
      </c>
      <c r="E281" s="35">
        <v>44029</v>
      </c>
      <c r="F281" s="35">
        <v>47946</v>
      </c>
      <c r="G281" s="35">
        <v>57231</v>
      </c>
      <c r="H281" s="525">
        <v>57388</v>
      </c>
    </row>
    <row r="282" spans="2:9" ht="15.5">
      <c r="B282" s="109" t="s">
        <v>627</v>
      </c>
      <c r="C282" s="110">
        <v>0.60799999999999998</v>
      </c>
      <c r="D282" s="110">
        <v>0.56200000000000006</v>
      </c>
      <c r="E282" s="110">
        <v>0.58899999999999997</v>
      </c>
      <c r="F282" s="110">
        <v>0.56799999999999995</v>
      </c>
      <c r="G282" s="110">
        <v>0.56899999999999995</v>
      </c>
      <c r="H282" s="110">
        <v>0.56399999999999995</v>
      </c>
    </row>
    <row r="283" spans="2:9" ht="15.5">
      <c r="B283" s="109" t="s">
        <v>628</v>
      </c>
      <c r="C283" s="110">
        <v>0.39200000000000002</v>
      </c>
      <c r="D283" s="110">
        <v>0.438</v>
      </c>
      <c r="E283" s="110">
        <v>0.41099999999999998</v>
      </c>
      <c r="F283" s="110">
        <v>0.432</v>
      </c>
      <c r="G283" s="110">
        <v>0.43099999999999999</v>
      </c>
      <c r="H283" s="110">
        <v>0.436</v>
      </c>
    </row>
    <row r="284" spans="2:9" ht="15.5">
      <c r="B284" s="181" t="s">
        <v>682</v>
      </c>
      <c r="C284" s="182">
        <v>17486</v>
      </c>
      <c r="D284" s="182">
        <v>9650</v>
      </c>
      <c r="E284" s="182">
        <v>9932</v>
      </c>
      <c r="F284" s="182">
        <v>8561</v>
      </c>
      <c r="G284" s="182">
        <v>35876</v>
      </c>
      <c r="H284" s="182">
        <v>14613</v>
      </c>
    </row>
    <row r="285" spans="2:9" ht="15.5">
      <c r="B285" s="76" t="s">
        <v>625</v>
      </c>
      <c r="C285" s="35">
        <v>13946</v>
      </c>
      <c r="D285" s="35">
        <v>4397</v>
      </c>
      <c r="E285" s="35">
        <v>6430</v>
      </c>
      <c r="F285" s="35">
        <v>5908</v>
      </c>
      <c r="G285" s="35">
        <v>16912</v>
      </c>
      <c r="H285" s="525">
        <v>5993</v>
      </c>
    </row>
    <row r="286" spans="2:9" ht="15.5">
      <c r="B286" s="76" t="s">
        <v>626</v>
      </c>
      <c r="C286" s="35">
        <v>3540</v>
      </c>
      <c r="D286" s="35">
        <v>5253</v>
      </c>
      <c r="E286" s="35">
        <v>3502</v>
      </c>
      <c r="F286" s="35">
        <v>2653</v>
      </c>
      <c r="G286" s="35">
        <v>18964</v>
      </c>
      <c r="H286" s="525">
        <v>8620</v>
      </c>
    </row>
    <row r="287" spans="2:9" ht="15.5">
      <c r="B287" s="74" t="s">
        <v>683</v>
      </c>
      <c r="C287" s="79">
        <v>13351</v>
      </c>
      <c r="D287" s="79">
        <v>9412</v>
      </c>
      <c r="E287" s="79">
        <v>15788</v>
      </c>
      <c r="F287" s="79">
        <v>16535</v>
      </c>
      <c r="G287" s="79">
        <v>13296</v>
      </c>
      <c r="H287" s="79">
        <v>14291</v>
      </c>
    </row>
    <row r="288" spans="2:9" ht="15.5">
      <c r="B288" s="76" t="s">
        <v>625</v>
      </c>
      <c r="C288" s="35">
        <v>6958</v>
      </c>
      <c r="D288" s="35">
        <v>4980</v>
      </c>
      <c r="E288" s="35">
        <v>9412</v>
      </c>
      <c r="F288" s="35">
        <v>7269</v>
      </c>
      <c r="G288" s="35">
        <v>6236</v>
      </c>
      <c r="H288" s="525">
        <v>6551</v>
      </c>
    </row>
    <row r="289" spans="2:9" ht="15.5">
      <c r="B289" s="76" t="s">
        <v>626</v>
      </c>
      <c r="C289" s="35">
        <v>6393</v>
      </c>
      <c r="D289" s="35">
        <v>4432</v>
      </c>
      <c r="E289" s="35">
        <v>6376</v>
      </c>
      <c r="F289" s="35">
        <v>9266</v>
      </c>
      <c r="G289" s="35">
        <v>7060</v>
      </c>
      <c r="H289" s="525">
        <v>7740</v>
      </c>
    </row>
    <row r="290" spans="2:9" ht="15.5">
      <c r="B290" s="74" t="s">
        <v>684</v>
      </c>
      <c r="C290" s="79">
        <v>66244</v>
      </c>
      <c r="D290" s="79">
        <v>69976</v>
      </c>
      <c r="E290" s="79">
        <v>67369</v>
      </c>
      <c r="F290" s="79">
        <v>72686</v>
      </c>
      <c r="G290" s="79">
        <v>70162</v>
      </c>
      <c r="H290" s="79">
        <v>89264</v>
      </c>
    </row>
    <row r="291" spans="2:9" ht="15.5">
      <c r="B291" s="76" t="s">
        <v>625</v>
      </c>
      <c r="C291" s="35">
        <v>36542</v>
      </c>
      <c r="D291" s="35">
        <v>38605</v>
      </c>
      <c r="E291" s="35">
        <v>37161</v>
      </c>
      <c r="F291" s="35">
        <v>40249</v>
      </c>
      <c r="G291" s="35">
        <v>42387</v>
      </c>
      <c r="H291" s="525">
        <v>52060</v>
      </c>
    </row>
    <row r="292" spans="2:9" ht="15.5">
      <c r="B292" s="76" t="s">
        <v>626</v>
      </c>
      <c r="C292" s="35">
        <v>29702</v>
      </c>
      <c r="D292" s="35">
        <v>31371</v>
      </c>
      <c r="E292" s="35">
        <v>30208</v>
      </c>
      <c r="F292" s="35">
        <v>32437</v>
      </c>
      <c r="G292" s="35">
        <v>27775</v>
      </c>
      <c r="H292" s="525">
        <v>37204</v>
      </c>
    </row>
    <row r="293" spans="2:9" ht="15.5">
      <c r="B293" s="74" t="s">
        <v>685</v>
      </c>
      <c r="C293" s="79">
        <v>10420</v>
      </c>
      <c r="D293" s="79">
        <v>13447</v>
      </c>
      <c r="E293" s="79">
        <v>14078</v>
      </c>
      <c r="F293" s="79">
        <v>13172</v>
      </c>
      <c r="G293" s="79">
        <v>13393</v>
      </c>
      <c r="H293" s="79">
        <v>13587</v>
      </c>
    </row>
    <row r="294" spans="2:9" ht="15.5">
      <c r="B294" s="76" t="s">
        <v>625</v>
      </c>
      <c r="C294" s="35">
        <v>7881</v>
      </c>
      <c r="D294" s="35">
        <v>9661</v>
      </c>
      <c r="E294" s="35">
        <v>10135</v>
      </c>
      <c r="F294" s="35">
        <v>9582</v>
      </c>
      <c r="G294" s="35">
        <v>9961</v>
      </c>
      <c r="H294" s="525">
        <v>9763</v>
      </c>
    </row>
    <row r="295" spans="2:9" ht="15.5">
      <c r="B295" s="76" t="s">
        <v>626</v>
      </c>
      <c r="C295" s="35">
        <v>2539</v>
      </c>
      <c r="D295" s="35">
        <v>3786</v>
      </c>
      <c r="E295" s="35">
        <v>3943</v>
      </c>
      <c r="F295" s="35">
        <v>3590</v>
      </c>
      <c r="G295" s="35">
        <v>3432</v>
      </c>
      <c r="H295" s="525">
        <v>3824</v>
      </c>
    </row>
    <row r="296" spans="2:9" s="29" customFormat="1" ht="13">
      <c r="B296" s="133" t="s">
        <v>419</v>
      </c>
      <c r="H296" s="448"/>
    </row>
    <row r="298" spans="2:9" ht="15.5">
      <c r="B298" s="49" t="s">
        <v>686</v>
      </c>
      <c r="C298"/>
      <c r="D298"/>
      <c r="E298"/>
      <c r="F298"/>
      <c r="G298"/>
      <c r="H298" s="19"/>
    </row>
    <row r="299" spans="2:9" ht="15.5">
      <c r="B299" s="95" t="s">
        <v>681</v>
      </c>
      <c r="C299" s="95" t="s">
        <v>670</v>
      </c>
      <c r="D299" s="71">
        <v>2017</v>
      </c>
      <c r="E299" s="71">
        <v>2018</v>
      </c>
      <c r="F299" s="71">
        <v>2019</v>
      </c>
      <c r="G299" s="71" t="s">
        <v>335</v>
      </c>
      <c r="H299" s="71" t="s">
        <v>256</v>
      </c>
      <c r="I299" s="71" t="s">
        <v>257</v>
      </c>
    </row>
    <row r="300" spans="2:9" ht="15.5">
      <c r="B300" s="840" t="s">
        <v>514</v>
      </c>
      <c r="C300" s="96" t="s">
        <v>415</v>
      </c>
      <c r="D300" s="97">
        <v>11274</v>
      </c>
      <c r="E300" s="79">
        <v>8810</v>
      </c>
      <c r="F300" s="79">
        <v>15464</v>
      </c>
      <c r="G300" s="79">
        <v>16075</v>
      </c>
      <c r="H300" s="79">
        <v>12780</v>
      </c>
      <c r="I300" s="79">
        <v>13925</v>
      </c>
    </row>
    <row r="301" spans="2:9" ht="15.5">
      <c r="B301" s="840"/>
      <c r="C301" s="76" t="s">
        <v>625</v>
      </c>
      <c r="D301" s="35">
        <v>5932</v>
      </c>
      <c r="E301" s="35">
        <v>4707</v>
      </c>
      <c r="F301" s="35">
        <v>9244</v>
      </c>
      <c r="G301" s="35">
        <v>7044</v>
      </c>
      <c r="H301" s="35">
        <v>5920</v>
      </c>
      <c r="I301" s="35">
        <v>6423</v>
      </c>
    </row>
    <row r="302" spans="2:9" ht="15.5">
      <c r="B302" s="840"/>
      <c r="C302" s="76" t="s">
        <v>626</v>
      </c>
      <c r="D302" s="35">
        <v>5342</v>
      </c>
      <c r="E302" s="35">
        <v>4103</v>
      </c>
      <c r="F302" s="35">
        <v>6220</v>
      </c>
      <c r="G302" s="35">
        <v>9031</v>
      </c>
      <c r="H302" s="35">
        <v>6860</v>
      </c>
      <c r="I302" s="35">
        <v>7502</v>
      </c>
    </row>
    <row r="303" spans="2:9" ht="15.5">
      <c r="B303" s="840" t="s">
        <v>515</v>
      </c>
      <c r="C303" s="74" t="s">
        <v>415</v>
      </c>
      <c r="D303" s="79">
        <v>2077</v>
      </c>
      <c r="E303" s="75">
        <v>602</v>
      </c>
      <c r="F303" s="75">
        <v>324</v>
      </c>
      <c r="G303" s="75">
        <v>460</v>
      </c>
      <c r="H303" s="75">
        <v>516</v>
      </c>
      <c r="I303" s="75">
        <v>366</v>
      </c>
    </row>
    <row r="304" spans="2:9" ht="15.5">
      <c r="B304" s="840"/>
      <c r="C304" s="76" t="s">
        <v>625</v>
      </c>
      <c r="D304" s="35">
        <v>1026</v>
      </c>
      <c r="E304" s="32">
        <v>273</v>
      </c>
      <c r="F304" s="32">
        <v>168</v>
      </c>
      <c r="G304" s="32">
        <v>225</v>
      </c>
      <c r="H304" s="32">
        <v>316</v>
      </c>
      <c r="I304" s="32">
        <v>128</v>
      </c>
    </row>
    <row r="305" spans="2:9" ht="15.5">
      <c r="B305" s="840"/>
      <c r="C305" s="76" t="s">
        <v>626</v>
      </c>
      <c r="D305" s="35">
        <v>1051</v>
      </c>
      <c r="E305" s="32">
        <v>329</v>
      </c>
      <c r="F305" s="32">
        <v>156</v>
      </c>
      <c r="G305" s="32">
        <v>235</v>
      </c>
      <c r="H305" s="32">
        <v>200</v>
      </c>
      <c r="I305" s="32">
        <v>238</v>
      </c>
    </row>
    <row r="306" spans="2:9" ht="15.5">
      <c r="B306" s="840" t="s">
        <v>516</v>
      </c>
      <c r="C306" s="74" t="s">
        <v>415</v>
      </c>
      <c r="D306" s="79">
        <v>24603</v>
      </c>
      <c r="E306" s="79">
        <v>28732</v>
      </c>
      <c r="F306" s="79">
        <v>25885</v>
      </c>
      <c r="G306" s="79">
        <v>30692</v>
      </c>
      <c r="H306" s="79">
        <v>27410</v>
      </c>
      <c r="I306" s="79">
        <v>38424</v>
      </c>
    </row>
    <row r="307" spans="2:9" ht="15.5">
      <c r="B307" s="840"/>
      <c r="C307" s="76" t="s">
        <v>625</v>
      </c>
      <c r="D307" s="35">
        <v>13590</v>
      </c>
      <c r="E307" s="35">
        <v>16218</v>
      </c>
      <c r="F307" s="35">
        <v>14459</v>
      </c>
      <c r="G307" s="35">
        <v>17134</v>
      </c>
      <c r="H307" s="35">
        <v>16261</v>
      </c>
      <c r="I307" s="35">
        <v>21567</v>
      </c>
    </row>
    <row r="308" spans="2:9" ht="15.5">
      <c r="B308" s="840"/>
      <c r="C308" s="76" t="s">
        <v>626</v>
      </c>
      <c r="D308" s="35">
        <v>11013</v>
      </c>
      <c r="E308" s="35">
        <v>12514</v>
      </c>
      <c r="F308" s="35">
        <v>11426</v>
      </c>
      <c r="G308" s="35">
        <v>13558</v>
      </c>
      <c r="H308" s="35">
        <v>11149</v>
      </c>
      <c r="I308" s="35">
        <v>16857</v>
      </c>
    </row>
    <row r="309" spans="2:9" ht="15.5">
      <c r="B309" s="840" t="s">
        <v>517</v>
      </c>
      <c r="C309" s="74" t="s">
        <v>415</v>
      </c>
      <c r="D309" s="79">
        <v>19846</v>
      </c>
      <c r="E309" s="79">
        <v>20361</v>
      </c>
      <c r="F309" s="79">
        <v>22748</v>
      </c>
      <c r="G309" s="79">
        <v>20666</v>
      </c>
      <c r="H309" s="79">
        <v>24287</v>
      </c>
      <c r="I309" s="79">
        <v>26980</v>
      </c>
    </row>
    <row r="310" spans="2:9" ht="15.5">
      <c r="B310" s="840"/>
      <c r="C310" s="76" t="s">
        <v>625</v>
      </c>
      <c r="D310" s="35">
        <v>11011</v>
      </c>
      <c r="E310" s="35">
        <v>10924</v>
      </c>
      <c r="F310" s="35">
        <v>12469</v>
      </c>
      <c r="G310" s="35">
        <v>11380</v>
      </c>
      <c r="H310" s="35">
        <v>14669</v>
      </c>
      <c r="I310" s="35">
        <v>16076</v>
      </c>
    </row>
    <row r="311" spans="2:9" ht="15.5">
      <c r="B311" s="840"/>
      <c r="C311" s="76" t="s">
        <v>626</v>
      </c>
      <c r="D311" s="35">
        <v>8835</v>
      </c>
      <c r="E311" s="35">
        <v>9437</v>
      </c>
      <c r="F311" s="35">
        <v>10279</v>
      </c>
      <c r="G311" s="35">
        <v>9286</v>
      </c>
      <c r="H311" s="35">
        <v>9618</v>
      </c>
      <c r="I311" s="35">
        <v>10904</v>
      </c>
    </row>
    <row r="312" spans="2:9" ht="15.5">
      <c r="B312" s="840" t="s">
        <v>518</v>
      </c>
      <c r="C312" s="74" t="s">
        <v>415</v>
      </c>
      <c r="D312" s="79">
        <v>21795</v>
      </c>
      <c r="E312" s="79">
        <v>20883</v>
      </c>
      <c r="F312" s="79">
        <v>18736</v>
      </c>
      <c r="G312" s="79">
        <v>21328</v>
      </c>
      <c r="H312" s="79">
        <v>18465</v>
      </c>
      <c r="I312" s="79">
        <v>23860</v>
      </c>
    </row>
    <row r="313" spans="2:9" ht="15.5">
      <c r="B313" s="840"/>
      <c r="C313" s="76" t="s">
        <v>625</v>
      </c>
      <c r="D313" s="35">
        <v>11941</v>
      </c>
      <c r="E313" s="35">
        <v>11463</v>
      </c>
      <c r="F313" s="35">
        <v>10233</v>
      </c>
      <c r="G313" s="35">
        <v>11735</v>
      </c>
      <c r="H313" s="35">
        <v>11457</v>
      </c>
      <c r="I313" s="35">
        <v>14417</v>
      </c>
    </row>
    <row r="314" spans="2:9" ht="15.5">
      <c r="B314" s="840"/>
      <c r="C314" s="76" t="s">
        <v>626</v>
      </c>
      <c r="D314" s="35">
        <v>9854</v>
      </c>
      <c r="E314" s="35">
        <v>9420</v>
      </c>
      <c r="F314" s="35">
        <v>8503</v>
      </c>
      <c r="G314" s="35">
        <v>9593</v>
      </c>
      <c r="H314" s="35">
        <v>7008</v>
      </c>
      <c r="I314" s="35">
        <v>9443</v>
      </c>
    </row>
    <row r="315" spans="2:9" s="29" customFormat="1" ht="13">
      <c r="B315" s="133" t="s">
        <v>653</v>
      </c>
      <c r="H315" s="448"/>
    </row>
    <row r="316" spans="2:9" ht="14">
      <c r="B316" s="174" t="s">
        <v>314</v>
      </c>
    </row>
    <row r="317" spans="2:9" ht="15.5">
      <c r="B317" s="18" t="s">
        <v>62</v>
      </c>
      <c r="C317" s="27"/>
    </row>
    <row r="318" spans="2:9" ht="15.5">
      <c r="B318" s="18"/>
      <c r="C318" s="27"/>
    </row>
    <row r="319" spans="2:9" ht="15.5">
      <c r="B319" s="27" t="s">
        <v>63</v>
      </c>
    </row>
    <row r="320" spans="2:9" ht="28">
      <c r="B320" s="41" t="s">
        <v>640</v>
      </c>
      <c r="C320" s="42">
        <v>2017</v>
      </c>
      <c r="D320" s="42">
        <v>2018</v>
      </c>
      <c r="E320" s="42">
        <v>2019</v>
      </c>
      <c r="F320" s="42" t="s">
        <v>335</v>
      </c>
      <c r="G320" s="42" t="s">
        <v>687</v>
      </c>
      <c r="H320" s="42" t="s">
        <v>688</v>
      </c>
    </row>
    <row r="321" spans="2:8" ht="14">
      <c r="B321" s="43" t="s">
        <v>689</v>
      </c>
      <c r="C321" s="44">
        <v>78892</v>
      </c>
      <c r="D321" s="44">
        <v>84642</v>
      </c>
      <c r="E321" s="44">
        <v>90567</v>
      </c>
      <c r="F321" s="44">
        <v>92405</v>
      </c>
      <c r="G321" s="44">
        <v>99630</v>
      </c>
      <c r="H321" s="44">
        <v>160267</v>
      </c>
    </row>
    <row r="322" spans="2:8" ht="14">
      <c r="B322" s="47" t="s">
        <v>625</v>
      </c>
      <c r="C322" s="45">
        <v>35031</v>
      </c>
      <c r="D322" s="45">
        <v>38022</v>
      </c>
      <c r="E322" s="45">
        <v>40276</v>
      </c>
      <c r="F322" s="45">
        <v>40795</v>
      </c>
      <c r="G322" s="45">
        <v>42305</v>
      </c>
      <c r="H322" s="45">
        <v>43378</v>
      </c>
    </row>
    <row r="323" spans="2:8" ht="14">
      <c r="B323" s="47" t="s">
        <v>626</v>
      </c>
      <c r="C323" s="45">
        <v>43861</v>
      </c>
      <c r="D323" s="45">
        <v>46620</v>
      </c>
      <c r="E323" s="45">
        <v>50291</v>
      </c>
      <c r="F323" s="45">
        <v>51610</v>
      </c>
      <c r="G323" s="45">
        <v>57325</v>
      </c>
      <c r="H323" s="45">
        <v>116889</v>
      </c>
    </row>
    <row r="324" spans="2:8" ht="14.5">
      <c r="B324" s="167" t="s">
        <v>627</v>
      </c>
      <c r="C324" s="168">
        <v>0.44400000000000001</v>
      </c>
      <c r="D324" s="168">
        <v>0.44900000000000001</v>
      </c>
      <c r="E324" s="168">
        <v>0.44500000000000001</v>
      </c>
      <c r="F324" s="168">
        <v>0.441</v>
      </c>
      <c r="G324" s="168">
        <v>0.42499999999999999</v>
      </c>
      <c r="H324" s="168">
        <v>0.27100000000000002</v>
      </c>
    </row>
    <row r="325" spans="2:8" ht="14.5">
      <c r="B325" s="167" t="s">
        <v>628</v>
      </c>
      <c r="C325" s="168">
        <v>0.55600000000000005</v>
      </c>
      <c r="D325" s="168">
        <v>0.55100000000000005</v>
      </c>
      <c r="E325" s="168">
        <v>0.55500000000000005</v>
      </c>
      <c r="F325" s="168">
        <v>0.55900000000000005</v>
      </c>
      <c r="G325" s="168">
        <v>0.57499999999999996</v>
      </c>
      <c r="H325" s="168">
        <v>0.72899999999999998</v>
      </c>
    </row>
    <row r="326" spans="2:8" ht="15.5">
      <c r="B326" s="43" t="s">
        <v>690</v>
      </c>
      <c r="C326" s="44">
        <v>30562</v>
      </c>
      <c r="D326" s="44">
        <v>31900</v>
      </c>
      <c r="E326" s="44">
        <v>34981</v>
      </c>
      <c r="F326" s="44">
        <v>35177</v>
      </c>
      <c r="G326" s="97">
        <v>32671</v>
      </c>
      <c r="H326" s="97">
        <v>33943</v>
      </c>
    </row>
    <row r="327" spans="2:8" ht="15.5">
      <c r="B327" s="47" t="s">
        <v>625</v>
      </c>
      <c r="C327" s="45">
        <v>14476</v>
      </c>
      <c r="D327" s="45">
        <v>15267</v>
      </c>
      <c r="E327" s="45">
        <v>16536</v>
      </c>
      <c r="F327" s="45">
        <v>16354</v>
      </c>
      <c r="G327" s="128">
        <v>15207</v>
      </c>
      <c r="H327" s="128">
        <v>15528</v>
      </c>
    </row>
    <row r="328" spans="2:8" ht="15.5">
      <c r="B328" s="47" t="s">
        <v>626</v>
      </c>
      <c r="C328" s="45">
        <v>16086</v>
      </c>
      <c r="D328" s="45">
        <v>16633</v>
      </c>
      <c r="E328" s="45">
        <v>18445</v>
      </c>
      <c r="F328" s="45">
        <v>18823</v>
      </c>
      <c r="G328" s="128">
        <v>17464</v>
      </c>
      <c r="H328" s="128">
        <v>18415</v>
      </c>
    </row>
    <row r="329" spans="2:8" ht="15.5">
      <c r="B329" s="167" t="s">
        <v>627</v>
      </c>
      <c r="C329" s="168">
        <v>0.47399999999999998</v>
      </c>
      <c r="D329" s="168">
        <v>0.47899999999999998</v>
      </c>
      <c r="E329" s="168">
        <v>0.47299999999999998</v>
      </c>
      <c r="F329" s="168">
        <v>0.46500000000000002</v>
      </c>
      <c r="G329" s="118">
        <v>0.46500000000000002</v>
      </c>
      <c r="H329" s="118">
        <v>0.45700000000000002</v>
      </c>
    </row>
    <row r="330" spans="2:8" ht="15.5">
      <c r="B330" s="167" t="s">
        <v>628</v>
      </c>
      <c r="C330" s="168">
        <v>0.52600000000000002</v>
      </c>
      <c r="D330" s="168">
        <v>0.52100000000000002</v>
      </c>
      <c r="E330" s="168">
        <v>0.52700000000000002</v>
      </c>
      <c r="F330" s="168">
        <v>0.53500000000000003</v>
      </c>
      <c r="G330" s="118">
        <v>0.53500000000000003</v>
      </c>
      <c r="H330" s="118">
        <v>0.54300000000000004</v>
      </c>
    </row>
    <row r="331" spans="2:8" ht="15.5">
      <c r="B331" s="43" t="s">
        <v>691</v>
      </c>
      <c r="C331" s="44">
        <v>29865</v>
      </c>
      <c r="D331" s="44">
        <v>31076</v>
      </c>
      <c r="E331" s="44">
        <v>32941</v>
      </c>
      <c r="F331" s="44">
        <v>33691</v>
      </c>
      <c r="G331" s="97">
        <v>36294</v>
      </c>
      <c r="H331" s="97">
        <v>31788</v>
      </c>
    </row>
    <row r="332" spans="2:8" ht="15.5">
      <c r="B332" s="47" t="s">
        <v>625</v>
      </c>
      <c r="C332" s="45">
        <v>12965</v>
      </c>
      <c r="D332" s="45">
        <v>13705</v>
      </c>
      <c r="E332" s="45">
        <v>14742</v>
      </c>
      <c r="F332" s="45">
        <v>14757</v>
      </c>
      <c r="G332" s="128">
        <v>15117</v>
      </c>
      <c r="H332" s="128">
        <v>12178</v>
      </c>
    </row>
    <row r="333" spans="2:8" ht="15.5">
      <c r="B333" s="47" t="s">
        <v>626</v>
      </c>
      <c r="C333" s="45">
        <v>16900</v>
      </c>
      <c r="D333" s="45">
        <v>17371</v>
      </c>
      <c r="E333" s="45">
        <v>18199</v>
      </c>
      <c r="F333" s="45">
        <v>18934</v>
      </c>
      <c r="G333" s="128">
        <v>21177</v>
      </c>
      <c r="H333" s="128">
        <v>19610</v>
      </c>
    </row>
    <row r="334" spans="2:8" ht="15.5">
      <c r="B334" s="167" t="s">
        <v>627</v>
      </c>
      <c r="C334" s="168">
        <v>0.434</v>
      </c>
      <c r="D334" s="168">
        <v>0.441</v>
      </c>
      <c r="E334" s="168">
        <v>0.44800000000000001</v>
      </c>
      <c r="F334" s="168">
        <v>0.438</v>
      </c>
      <c r="G334" s="118">
        <v>0.41699999999999998</v>
      </c>
      <c r="H334" s="118">
        <v>0.38300000000000001</v>
      </c>
    </row>
    <row r="335" spans="2:8" ht="15.5">
      <c r="B335" s="167" t="s">
        <v>628</v>
      </c>
      <c r="C335" s="168">
        <v>0.56599999999999995</v>
      </c>
      <c r="D335" s="168">
        <v>0.55900000000000005</v>
      </c>
      <c r="E335" s="168">
        <v>0.55200000000000005</v>
      </c>
      <c r="F335" s="168">
        <v>0.56200000000000006</v>
      </c>
      <c r="G335" s="118">
        <v>0.58299999999999996</v>
      </c>
      <c r="H335" s="118">
        <v>0.61699999999999999</v>
      </c>
    </row>
    <row r="336" spans="2:8" ht="14">
      <c r="B336" s="43" t="s">
        <v>692</v>
      </c>
      <c r="C336" s="44">
        <v>9397</v>
      </c>
      <c r="D336" s="44">
        <v>9186</v>
      </c>
      <c r="E336" s="44">
        <v>9320</v>
      </c>
      <c r="F336" s="44">
        <v>10721</v>
      </c>
      <c r="G336" s="44">
        <v>11565</v>
      </c>
      <c r="H336" s="44">
        <v>12701</v>
      </c>
    </row>
    <row r="337" spans="2:8" ht="14">
      <c r="B337" s="47" t="s">
        <v>625</v>
      </c>
      <c r="C337" s="45">
        <v>3776</v>
      </c>
      <c r="D337" s="45">
        <v>3474</v>
      </c>
      <c r="E337" s="45">
        <v>3649</v>
      </c>
      <c r="F337" s="45">
        <v>4316</v>
      </c>
      <c r="G337" s="45">
        <v>4924</v>
      </c>
      <c r="H337" s="45">
        <v>5494</v>
      </c>
    </row>
    <row r="338" spans="2:8" ht="14">
      <c r="B338" s="47" t="s">
        <v>626</v>
      </c>
      <c r="C338" s="45">
        <v>5621</v>
      </c>
      <c r="D338" s="45">
        <v>5712</v>
      </c>
      <c r="E338" s="45">
        <v>5671</v>
      </c>
      <c r="F338" s="45">
        <v>6405</v>
      </c>
      <c r="G338" s="45">
        <v>6641</v>
      </c>
      <c r="H338" s="45">
        <v>7207</v>
      </c>
    </row>
    <row r="339" spans="2:8" ht="14.5">
      <c r="B339" s="167" t="s">
        <v>627</v>
      </c>
      <c r="C339" s="168">
        <v>0.40200000000000002</v>
      </c>
      <c r="D339" s="168">
        <v>0.378</v>
      </c>
      <c r="E339" s="168">
        <v>0.39200000000000002</v>
      </c>
      <c r="F339" s="168">
        <v>0.40300000000000002</v>
      </c>
      <c r="G339" s="168">
        <v>0.42599999999999999</v>
      </c>
      <c r="H339" s="168">
        <v>0.433</v>
      </c>
    </row>
    <row r="340" spans="2:8" ht="14.5">
      <c r="B340" s="167" t="s">
        <v>628</v>
      </c>
      <c r="C340" s="168">
        <v>0.59799999999999998</v>
      </c>
      <c r="D340" s="168">
        <v>0.622</v>
      </c>
      <c r="E340" s="168">
        <v>0.60799999999999998</v>
      </c>
      <c r="F340" s="168">
        <v>0.59699999999999998</v>
      </c>
      <c r="G340" s="168">
        <v>0.57399999999999995</v>
      </c>
      <c r="H340" s="168">
        <v>0.56699999999999995</v>
      </c>
    </row>
    <row r="341" spans="2:8" ht="14">
      <c r="B341" s="43" t="s">
        <v>693</v>
      </c>
      <c r="C341" s="44">
        <v>66244</v>
      </c>
      <c r="D341" s="44">
        <v>69976</v>
      </c>
      <c r="E341" s="44">
        <v>67369</v>
      </c>
      <c r="F341" s="44">
        <v>72686</v>
      </c>
      <c r="G341" s="44">
        <v>70162</v>
      </c>
      <c r="H341" s="44">
        <v>89264</v>
      </c>
    </row>
    <row r="342" spans="2:8" ht="14">
      <c r="B342" s="47" t="s">
        <v>625</v>
      </c>
      <c r="C342" s="45">
        <v>36542</v>
      </c>
      <c r="D342" s="45">
        <v>38605</v>
      </c>
      <c r="E342" s="45">
        <v>37161</v>
      </c>
      <c r="F342" s="45">
        <v>40249</v>
      </c>
      <c r="G342" s="45">
        <v>42387</v>
      </c>
      <c r="H342" s="45">
        <v>52061</v>
      </c>
    </row>
    <row r="343" spans="2:8" ht="14">
      <c r="B343" s="47" t="s">
        <v>626</v>
      </c>
      <c r="C343" s="45">
        <v>29702</v>
      </c>
      <c r="D343" s="45">
        <v>31371</v>
      </c>
      <c r="E343" s="45">
        <v>30208</v>
      </c>
      <c r="F343" s="45">
        <v>32437</v>
      </c>
      <c r="G343" s="45">
        <v>27775</v>
      </c>
      <c r="H343" s="45">
        <v>37203</v>
      </c>
    </row>
    <row r="344" spans="2:8" ht="14.5">
      <c r="B344" s="167" t="s">
        <v>627</v>
      </c>
      <c r="C344" s="168">
        <v>0.55200000000000005</v>
      </c>
      <c r="D344" s="168">
        <v>0.55200000000000005</v>
      </c>
      <c r="E344" s="168">
        <v>0.55200000000000005</v>
      </c>
      <c r="F344" s="168">
        <v>0.55400000000000005</v>
      </c>
      <c r="G344" s="168">
        <v>0.60399999999999998</v>
      </c>
      <c r="H344" s="168">
        <v>0.58299999999999996</v>
      </c>
    </row>
    <row r="345" spans="2:8" ht="14.5">
      <c r="B345" s="167" t="s">
        <v>628</v>
      </c>
      <c r="C345" s="168">
        <v>0.44800000000000001</v>
      </c>
      <c r="D345" s="168">
        <v>0.44800000000000001</v>
      </c>
      <c r="E345" s="168">
        <v>0.44800000000000001</v>
      </c>
      <c r="F345" s="168">
        <v>0.44600000000000001</v>
      </c>
      <c r="G345" s="168">
        <v>0.39600000000000002</v>
      </c>
      <c r="H345" s="168">
        <v>0.41699999999999998</v>
      </c>
    </row>
    <row r="346" spans="2:8" ht="14">
      <c r="B346" s="43" t="s">
        <v>694</v>
      </c>
      <c r="C346" s="183"/>
      <c r="D346" s="183"/>
      <c r="E346" s="183"/>
      <c r="F346" s="183"/>
      <c r="G346" s="44">
        <v>9291</v>
      </c>
      <c r="H346" s="44">
        <v>9814</v>
      </c>
    </row>
    <row r="347" spans="2:8" ht="14">
      <c r="B347" s="47" t="s">
        <v>625</v>
      </c>
      <c r="C347" s="184"/>
      <c r="D347" s="184"/>
      <c r="E347" s="184"/>
      <c r="F347" s="184"/>
      <c r="G347" s="45">
        <v>1528</v>
      </c>
      <c r="H347" s="45">
        <v>1841</v>
      </c>
    </row>
    <row r="348" spans="2:8" ht="14">
      <c r="B348" s="47" t="s">
        <v>626</v>
      </c>
      <c r="C348" s="184"/>
      <c r="D348" s="184"/>
      <c r="E348" s="184"/>
      <c r="F348" s="184"/>
      <c r="G348" s="45">
        <v>7763</v>
      </c>
      <c r="H348" s="45">
        <v>7973</v>
      </c>
    </row>
    <row r="349" spans="2:8" ht="14.5">
      <c r="B349" s="167" t="s">
        <v>627</v>
      </c>
      <c r="C349" s="184"/>
      <c r="D349" s="184"/>
      <c r="E349" s="184"/>
      <c r="F349" s="184"/>
      <c r="G349" s="168">
        <v>0.16400000000000001</v>
      </c>
      <c r="H349" s="168">
        <v>0.188</v>
      </c>
    </row>
    <row r="350" spans="2:8" ht="14.5">
      <c r="B350" s="167" t="s">
        <v>628</v>
      </c>
      <c r="C350" s="185"/>
      <c r="D350" s="185"/>
      <c r="E350" s="185"/>
      <c r="F350" s="185"/>
      <c r="G350" s="168">
        <v>0.83599999999999997</v>
      </c>
      <c r="H350" s="168">
        <v>0.81200000000000006</v>
      </c>
    </row>
    <row r="351" spans="2:8" ht="14">
      <c r="B351" s="43" t="s">
        <v>372</v>
      </c>
      <c r="C351" s="186"/>
      <c r="D351" s="186"/>
      <c r="E351" s="186"/>
      <c r="F351" s="186"/>
      <c r="G351" s="187">
        <v>209</v>
      </c>
      <c r="H351" s="187">
        <v>657</v>
      </c>
    </row>
    <row r="352" spans="2:8" ht="14">
      <c r="B352" s="47" t="s">
        <v>625</v>
      </c>
      <c r="C352" s="185"/>
      <c r="D352" s="185"/>
      <c r="E352" s="185"/>
      <c r="F352" s="185"/>
      <c r="G352" s="46">
        <v>117</v>
      </c>
      <c r="H352" s="46">
        <v>280</v>
      </c>
    </row>
    <row r="353" spans="2:11" ht="14">
      <c r="B353" s="47" t="s">
        <v>626</v>
      </c>
      <c r="C353" s="185"/>
      <c r="D353" s="185"/>
      <c r="E353" s="185"/>
      <c r="F353" s="185"/>
      <c r="G353" s="46">
        <v>92</v>
      </c>
      <c r="H353" s="46">
        <v>377</v>
      </c>
    </row>
    <row r="354" spans="2:11" ht="14.5">
      <c r="B354" s="167" t="s">
        <v>627</v>
      </c>
      <c r="C354" s="185"/>
      <c r="D354" s="185"/>
      <c r="E354" s="185"/>
      <c r="F354" s="185"/>
      <c r="G354" s="168">
        <v>0.56000000000000005</v>
      </c>
      <c r="H354" s="168">
        <v>0.42599999999999999</v>
      </c>
    </row>
    <row r="355" spans="2:11" ht="14.5">
      <c r="B355" s="167" t="s">
        <v>628</v>
      </c>
      <c r="C355" s="185"/>
      <c r="D355" s="185"/>
      <c r="E355" s="185"/>
      <c r="F355" s="185"/>
      <c r="G355" s="168">
        <v>0.44</v>
      </c>
      <c r="H355" s="168">
        <v>0.57399999999999995</v>
      </c>
    </row>
    <row r="356" spans="2:11" s="29" customFormat="1" ht="13">
      <c r="B356" s="133" t="s">
        <v>695</v>
      </c>
      <c r="H356" s="448"/>
    </row>
    <row r="357" spans="2:11" ht="14">
      <c r="B357" s="174" t="s">
        <v>314</v>
      </c>
    </row>
    <row r="358" spans="2:11" ht="15.5">
      <c r="B358" s="49" t="s">
        <v>696</v>
      </c>
      <c r="C358"/>
      <c r="D358"/>
      <c r="E358"/>
      <c r="F358"/>
      <c r="G358"/>
      <c r="H358" s="19"/>
      <c r="I358"/>
    </row>
    <row r="359" spans="2:11" ht="19" customHeight="1">
      <c r="B359" s="845" t="s">
        <v>490</v>
      </c>
      <c r="C359" s="850" t="s">
        <v>670</v>
      </c>
      <c r="D359" s="852" t="s">
        <v>1667</v>
      </c>
      <c r="E359" s="853"/>
      <c r="F359" s="853"/>
      <c r="G359" s="853"/>
      <c r="H359" s="853"/>
      <c r="I359" s="853"/>
      <c r="J359" s="853"/>
      <c r="K359" s="854"/>
    </row>
    <row r="360" spans="2:11" ht="15.5">
      <c r="B360" s="846"/>
      <c r="C360" s="851"/>
      <c r="D360" s="598" t="s">
        <v>697</v>
      </c>
      <c r="E360" s="598" t="s">
        <v>698</v>
      </c>
      <c r="F360" s="598" t="s">
        <v>699</v>
      </c>
      <c r="G360" s="598" t="s">
        <v>368</v>
      </c>
      <c r="H360" s="598" t="s">
        <v>370</v>
      </c>
      <c r="I360" s="598" t="s">
        <v>372</v>
      </c>
      <c r="J360" s="598" t="s">
        <v>369</v>
      </c>
      <c r="K360" s="599" t="s">
        <v>415</v>
      </c>
    </row>
    <row r="361" spans="2:11" ht="15.5">
      <c r="B361" s="847" t="s">
        <v>700</v>
      </c>
      <c r="C361" s="596" t="s">
        <v>415</v>
      </c>
      <c r="D361" s="600">
        <v>39963</v>
      </c>
      <c r="E361" s="600">
        <v>11329</v>
      </c>
      <c r="F361" s="600">
        <v>11675</v>
      </c>
      <c r="G361" s="600">
        <v>4392</v>
      </c>
      <c r="H361" s="600">
        <v>38424</v>
      </c>
      <c r="I361" s="601">
        <v>454</v>
      </c>
      <c r="J361" s="600">
        <v>2170</v>
      </c>
      <c r="K361" s="600">
        <v>108407</v>
      </c>
    </row>
    <row r="362" spans="2:11" ht="15.5">
      <c r="B362" s="848"/>
      <c r="C362" s="597" t="s">
        <v>625</v>
      </c>
      <c r="D362" s="602">
        <v>16228</v>
      </c>
      <c r="E362" s="603">
        <v>5197</v>
      </c>
      <c r="F362" s="603">
        <v>4176</v>
      </c>
      <c r="G362" s="603">
        <v>1878</v>
      </c>
      <c r="H362" s="603">
        <v>21567</v>
      </c>
      <c r="I362" s="604">
        <v>167</v>
      </c>
      <c r="J362" s="604">
        <v>528</v>
      </c>
      <c r="K362" s="605">
        <v>49741</v>
      </c>
    </row>
    <row r="363" spans="2:11" ht="15.5">
      <c r="B363" s="849"/>
      <c r="C363" s="597" t="s">
        <v>626</v>
      </c>
      <c r="D363" s="602">
        <v>23735</v>
      </c>
      <c r="E363" s="603">
        <v>6132</v>
      </c>
      <c r="F363" s="603">
        <v>7499</v>
      </c>
      <c r="G363" s="603">
        <v>2514</v>
      </c>
      <c r="H363" s="603">
        <v>16857</v>
      </c>
      <c r="I363" s="604">
        <v>287</v>
      </c>
      <c r="J363" s="603">
        <v>1642</v>
      </c>
      <c r="K363" s="605">
        <v>58666</v>
      </c>
    </row>
    <row r="364" spans="2:11" ht="15.5">
      <c r="B364" s="847" t="s">
        <v>701</v>
      </c>
      <c r="C364" s="596" t="s">
        <v>415</v>
      </c>
      <c r="D364" s="600">
        <v>37445</v>
      </c>
      <c r="E364" s="600">
        <v>11547</v>
      </c>
      <c r="F364" s="600">
        <v>10946</v>
      </c>
      <c r="G364" s="600">
        <v>4312</v>
      </c>
      <c r="H364" s="600">
        <v>26981</v>
      </c>
      <c r="I364" s="601">
        <v>203</v>
      </c>
      <c r="J364" s="600">
        <v>2463</v>
      </c>
      <c r="K364" s="600">
        <v>93897</v>
      </c>
    </row>
    <row r="365" spans="2:11" ht="15.5">
      <c r="B365" s="848"/>
      <c r="C365" s="597" t="s">
        <v>625</v>
      </c>
      <c r="D365" s="603">
        <v>15403</v>
      </c>
      <c r="E365" s="603">
        <v>5070</v>
      </c>
      <c r="F365" s="603">
        <v>4256</v>
      </c>
      <c r="G365" s="603">
        <v>1898</v>
      </c>
      <c r="H365" s="603">
        <v>16077</v>
      </c>
      <c r="I365" s="604">
        <v>113</v>
      </c>
      <c r="J365" s="604">
        <v>529</v>
      </c>
      <c r="K365" s="605">
        <v>43346</v>
      </c>
    </row>
    <row r="366" spans="2:11" ht="15.5">
      <c r="B366" s="849"/>
      <c r="C366" s="597" t="s">
        <v>626</v>
      </c>
      <c r="D366" s="603">
        <v>22042</v>
      </c>
      <c r="E366" s="603">
        <v>6477</v>
      </c>
      <c r="F366" s="603">
        <v>6690</v>
      </c>
      <c r="G366" s="603">
        <v>2414</v>
      </c>
      <c r="H366" s="603">
        <v>10904</v>
      </c>
      <c r="I366" s="604">
        <v>90</v>
      </c>
      <c r="J366" s="603">
        <v>1934</v>
      </c>
      <c r="K366" s="605">
        <v>50551</v>
      </c>
    </row>
    <row r="367" spans="2:11" ht="15.5">
      <c r="B367" s="847" t="s">
        <v>702</v>
      </c>
      <c r="C367" s="596" t="s">
        <v>415</v>
      </c>
      <c r="D367" s="600">
        <v>27260</v>
      </c>
      <c r="E367" s="600">
        <v>11067</v>
      </c>
      <c r="F367" s="600">
        <v>9167</v>
      </c>
      <c r="G367" s="600">
        <v>3997</v>
      </c>
      <c r="H367" s="600">
        <v>23859</v>
      </c>
      <c r="I367" s="606">
        <v>0</v>
      </c>
      <c r="J367" s="600">
        <v>5181</v>
      </c>
      <c r="K367" s="600">
        <v>80531</v>
      </c>
    </row>
    <row r="368" spans="2:11" ht="15.5">
      <c r="B368" s="848"/>
      <c r="C368" s="597" t="s">
        <v>625</v>
      </c>
      <c r="D368" s="603">
        <v>11747</v>
      </c>
      <c r="E368" s="603">
        <v>5261</v>
      </c>
      <c r="F368" s="603">
        <v>3746</v>
      </c>
      <c r="G368" s="603">
        <v>1718</v>
      </c>
      <c r="H368" s="603">
        <v>14417</v>
      </c>
      <c r="I368" s="607">
        <v>0</v>
      </c>
      <c r="J368" s="604">
        <v>784</v>
      </c>
      <c r="K368" s="605">
        <v>37673</v>
      </c>
    </row>
    <row r="369" spans="2:11" ht="15.5">
      <c r="B369" s="849"/>
      <c r="C369" s="597" t="s">
        <v>626</v>
      </c>
      <c r="D369" s="603">
        <v>15513</v>
      </c>
      <c r="E369" s="603">
        <v>5806</v>
      </c>
      <c r="F369" s="603">
        <v>5421</v>
      </c>
      <c r="G369" s="603">
        <v>2279</v>
      </c>
      <c r="H369" s="603">
        <v>9442</v>
      </c>
      <c r="I369" s="607">
        <v>0</v>
      </c>
      <c r="J369" s="603">
        <v>4397</v>
      </c>
      <c r="K369" s="605">
        <v>42858</v>
      </c>
    </row>
    <row r="370" spans="2:11" ht="15.5">
      <c r="B370" s="847" t="s">
        <v>415</v>
      </c>
      <c r="C370" s="596" t="s">
        <v>415</v>
      </c>
      <c r="D370" s="600">
        <v>104668</v>
      </c>
      <c r="E370" s="600">
        <v>33943</v>
      </c>
      <c r="F370" s="600">
        <v>31788</v>
      </c>
      <c r="G370" s="600">
        <v>12701</v>
      </c>
      <c r="H370" s="600">
        <v>89264</v>
      </c>
      <c r="I370" s="601">
        <v>657</v>
      </c>
      <c r="J370" s="600">
        <v>9814</v>
      </c>
      <c r="K370" s="600">
        <v>282835</v>
      </c>
    </row>
    <row r="371" spans="2:11" ht="15.5">
      <c r="B371" s="848"/>
      <c r="C371" s="597" t="s">
        <v>625</v>
      </c>
      <c r="D371" s="603">
        <v>43378</v>
      </c>
      <c r="E371" s="603">
        <v>15528</v>
      </c>
      <c r="F371" s="603">
        <v>12178</v>
      </c>
      <c r="G371" s="603">
        <v>5494</v>
      </c>
      <c r="H371" s="603">
        <v>52061</v>
      </c>
      <c r="I371" s="604">
        <v>280</v>
      </c>
      <c r="J371" s="603">
        <v>1841</v>
      </c>
      <c r="K371" s="605">
        <v>130760</v>
      </c>
    </row>
    <row r="372" spans="2:11" s="29" customFormat="1" ht="15.5">
      <c r="B372" s="849"/>
      <c r="C372" s="597" t="s">
        <v>626</v>
      </c>
      <c r="D372" s="603">
        <v>61290</v>
      </c>
      <c r="E372" s="603">
        <v>18415</v>
      </c>
      <c r="F372" s="603">
        <v>19610</v>
      </c>
      <c r="G372" s="603">
        <v>7207</v>
      </c>
      <c r="H372" s="603">
        <v>37203</v>
      </c>
      <c r="I372" s="604">
        <v>377</v>
      </c>
      <c r="J372" s="603">
        <v>7973</v>
      </c>
      <c r="K372" s="605">
        <v>152075</v>
      </c>
    </row>
    <row r="373" spans="2:11" s="29" customFormat="1" ht="15.5">
      <c r="B373" s="133" t="s">
        <v>419</v>
      </c>
      <c r="C373" s="614"/>
      <c r="D373" s="615"/>
      <c r="E373" s="615"/>
      <c r="F373" s="615"/>
      <c r="G373" s="615"/>
      <c r="H373" s="615"/>
      <c r="I373" s="616"/>
      <c r="J373" s="615"/>
      <c r="K373" s="617"/>
    </row>
    <row r="375" spans="2:11" ht="15.5">
      <c r="B375" s="49" t="s">
        <v>703</v>
      </c>
      <c r="C375"/>
      <c r="D375"/>
      <c r="E375"/>
      <c r="F375" t="s">
        <v>704</v>
      </c>
      <c r="G375"/>
      <c r="H375" s="19"/>
      <c r="I375"/>
    </row>
    <row r="376" spans="2:11" ht="15.5">
      <c r="B376" s="845" t="s">
        <v>490</v>
      </c>
      <c r="C376" s="855" t="s">
        <v>670</v>
      </c>
      <c r="D376" s="820" t="s">
        <v>1668</v>
      </c>
      <c r="E376" s="820"/>
      <c r="F376" s="820"/>
      <c r="G376" s="820"/>
      <c r="H376" s="820"/>
      <c r="I376" s="820"/>
      <c r="J376" s="820"/>
      <c r="K376" s="820"/>
    </row>
    <row r="377" spans="2:11" ht="17.25" customHeight="1">
      <c r="B377" s="846"/>
      <c r="C377" s="856"/>
      <c r="D377" s="595" t="s">
        <v>1669</v>
      </c>
      <c r="E377" s="595" t="s">
        <v>1670</v>
      </c>
      <c r="F377" s="608" t="s">
        <v>699</v>
      </c>
      <c r="G377" s="608" t="s">
        <v>368</v>
      </c>
      <c r="H377" s="608" t="s">
        <v>370</v>
      </c>
      <c r="I377" s="608" t="s">
        <v>372</v>
      </c>
      <c r="J377" s="595" t="s">
        <v>369</v>
      </c>
      <c r="K377" s="538" t="s">
        <v>415</v>
      </c>
    </row>
    <row r="378" spans="2:11" ht="17.25" customHeight="1">
      <c r="B378" s="847" t="s">
        <v>700</v>
      </c>
      <c r="C378" s="596" t="s">
        <v>415</v>
      </c>
      <c r="D378" s="609">
        <v>0.36899999999999999</v>
      </c>
      <c r="E378" s="609">
        <v>0.105</v>
      </c>
      <c r="F378" s="610">
        <v>0.108</v>
      </c>
      <c r="G378" s="610">
        <v>4.1000000000000002E-2</v>
      </c>
      <c r="H378" s="610">
        <v>0.35399999999999998</v>
      </c>
      <c r="I378" s="610">
        <v>4.0000000000000001E-3</v>
      </c>
      <c r="J378" s="609">
        <v>0.02</v>
      </c>
      <c r="K378" s="620">
        <v>1</v>
      </c>
    </row>
    <row r="379" spans="2:11" ht="17.25" customHeight="1">
      <c r="B379" s="848"/>
      <c r="C379" s="597" t="s">
        <v>625</v>
      </c>
      <c r="D379" s="611">
        <v>0.32600000000000001</v>
      </c>
      <c r="E379" s="611">
        <v>0.104</v>
      </c>
      <c r="F379" s="612">
        <v>8.4000000000000005E-2</v>
      </c>
      <c r="G379" s="612">
        <v>3.7999999999999999E-2</v>
      </c>
      <c r="H379" s="612">
        <v>0.434</v>
      </c>
      <c r="I379" s="612">
        <v>3.0000000000000001E-3</v>
      </c>
      <c r="J379" s="611">
        <v>1.0999999999999999E-2</v>
      </c>
      <c r="K379" s="621">
        <v>1</v>
      </c>
    </row>
    <row r="380" spans="2:11" ht="15.5">
      <c r="B380" s="849"/>
      <c r="C380" s="597" t="s">
        <v>626</v>
      </c>
      <c r="D380" s="611">
        <v>0.40500000000000003</v>
      </c>
      <c r="E380" s="611">
        <v>0.105</v>
      </c>
      <c r="F380" s="612">
        <v>0.128</v>
      </c>
      <c r="G380" s="612">
        <v>4.2999999999999997E-2</v>
      </c>
      <c r="H380" s="612">
        <v>0.28699999999999998</v>
      </c>
      <c r="I380" s="612">
        <v>5.0000000000000001E-3</v>
      </c>
      <c r="J380" s="611">
        <v>2.8000000000000001E-2</v>
      </c>
      <c r="K380" s="621">
        <v>1</v>
      </c>
    </row>
    <row r="381" spans="2:11" ht="17.25" customHeight="1">
      <c r="B381" s="847" t="s">
        <v>701</v>
      </c>
      <c r="C381" s="596" t="s">
        <v>415</v>
      </c>
      <c r="D381" s="609">
        <v>0.39900000000000002</v>
      </c>
      <c r="E381" s="609">
        <v>0.123</v>
      </c>
      <c r="F381" s="610">
        <v>0.11700000000000001</v>
      </c>
      <c r="G381" s="610">
        <v>4.5999999999999999E-2</v>
      </c>
      <c r="H381" s="610">
        <v>0.28699999999999998</v>
      </c>
      <c r="I381" s="610">
        <v>2E-3</v>
      </c>
      <c r="J381" s="609">
        <v>2.5999999999999999E-2</v>
      </c>
      <c r="K381" s="620">
        <v>1</v>
      </c>
    </row>
    <row r="382" spans="2:11" ht="17.25" customHeight="1">
      <c r="B382" s="848"/>
      <c r="C382" s="597" t="s">
        <v>625</v>
      </c>
      <c r="D382" s="611">
        <v>0.35499999999999998</v>
      </c>
      <c r="E382" s="611">
        <v>0.11700000000000001</v>
      </c>
      <c r="F382" s="612">
        <v>9.8000000000000004E-2</v>
      </c>
      <c r="G382" s="612">
        <v>4.3999999999999997E-2</v>
      </c>
      <c r="H382" s="612">
        <v>0.371</v>
      </c>
      <c r="I382" s="612">
        <v>3.0000000000000001E-3</v>
      </c>
      <c r="J382" s="611">
        <v>1.2E-2</v>
      </c>
      <c r="K382" s="621">
        <v>1</v>
      </c>
    </row>
    <row r="383" spans="2:11" ht="15.5">
      <c r="B383" s="849"/>
      <c r="C383" s="597" t="s">
        <v>626</v>
      </c>
      <c r="D383" s="611">
        <v>0.436</v>
      </c>
      <c r="E383" s="611">
        <v>0.128</v>
      </c>
      <c r="F383" s="612">
        <v>0.13200000000000001</v>
      </c>
      <c r="G383" s="612">
        <v>4.8000000000000001E-2</v>
      </c>
      <c r="H383" s="612">
        <v>0.216</v>
      </c>
      <c r="I383" s="612">
        <v>2E-3</v>
      </c>
      <c r="J383" s="611">
        <v>3.7999999999999999E-2</v>
      </c>
      <c r="K383" s="621">
        <v>1</v>
      </c>
    </row>
    <row r="384" spans="2:11" ht="17.25" customHeight="1">
      <c r="B384" s="847" t="s">
        <v>702</v>
      </c>
      <c r="C384" s="596" t="s">
        <v>415</v>
      </c>
      <c r="D384" s="609">
        <v>0.33900000000000002</v>
      </c>
      <c r="E384" s="609">
        <v>0.13700000000000001</v>
      </c>
      <c r="F384" s="610">
        <v>0.114</v>
      </c>
      <c r="G384" s="610">
        <v>0.05</v>
      </c>
      <c r="H384" s="610">
        <v>0.29599999999999999</v>
      </c>
      <c r="I384" s="610">
        <v>0</v>
      </c>
      <c r="J384" s="609">
        <v>6.4000000000000001E-2</v>
      </c>
      <c r="K384" s="620">
        <v>1</v>
      </c>
    </row>
    <row r="385" spans="2:11" ht="17.25" customHeight="1">
      <c r="B385" s="848"/>
      <c r="C385" s="597" t="s">
        <v>625</v>
      </c>
      <c r="D385" s="611">
        <v>0.312</v>
      </c>
      <c r="E385" s="611">
        <v>0.14000000000000001</v>
      </c>
      <c r="F385" s="612">
        <v>9.9000000000000005E-2</v>
      </c>
      <c r="G385" s="612">
        <v>4.5999999999999999E-2</v>
      </c>
      <c r="H385" s="612">
        <v>0.38300000000000001</v>
      </c>
      <c r="I385" s="612">
        <v>0</v>
      </c>
      <c r="J385" s="611">
        <v>2.1000000000000001E-2</v>
      </c>
      <c r="K385" s="621">
        <v>1</v>
      </c>
    </row>
    <row r="386" spans="2:11" ht="15.5">
      <c r="B386" s="849"/>
      <c r="C386" s="597" t="s">
        <v>626</v>
      </c>
      <c r="D386" s="611">
        <v>0.36199999999999999</v>
      </c>
      <c r="E386" s="611">
        <v>0.13500000000000001</v>
      </c>
      <c r="F386" s="612">
        <v>0.126</v>
      </c>
      <c r="G386" s="612">
        <v>5.2999999999999999E-2</v>
      </c>
      <c r="H386" s="612">
        <v>0.22</v>
      </c>
      <c r="I386" s="612">
        <v>0</v>
      </c>
      <c r="J386" s="611">
        <v>0.10299999999999999</v>
      </c>
      <c r="K386" s="621">
        <v>1</v>
      </c>
    </row>
    <row r="387" spans="2:11" ht="17.25" customHeight="1">
      <c r="B387" s="847" t="s">
        <v>415</v>
      </c>
      <c r="C387" s="596" t="s">
        <v>415</v>
      </c>
      <c r="D387" s="609">
        <v>0.37</v>
      </c>
      <c r="E387" s="609">
        <v>0.12</v>
      </c>
      <c r="F387" s="610">
        <v>0.112</v>
      </c>
      <c r="G387" s="610">
        <v>4.4999999999999998E-2</v>
      </c>
      <c r="H387" s="610">
        <v>0.316</v>
      </c>
      <c r="I387" s="610">
        <v>2E-3</v>
      </c>
      <c r="J387" s="609">
        <v>3.5000000000000003E-2</v>
      </c>
      <c r="K387" s="620">
        <v>1</v>
      </c>
    </row>
    <row r="388" spans="2:11" ht="17.25" customHeight="1">
      <c r="B388" s="848"/>
      <c r="C388" s="597" t="s">
        <v>625</v>
      </c>
      <c r="D388" s="611">
        <v>0.33200000000000002</v>
      </c>
      <c r="E388" s="611">
        <v>0.11899999999999999</v>
      </c>
      <c r="F388" s="612">
        <v>9.2999999999999999E-2</v>
      </c>
      <c r="G388" s="612">
        <v>4.2000000000000003E-2</v>
      </c>
      <c r="H388" s="612">
        <v>0.39800000000000002</v>
      </c>
      <c r="I388" s="612">
        <v>2E-3</v>
      </c>
      <c r="J388" s="611">
        <v>1.4E-2</v>
      </c>
      <c r="K388" s="621">
        <v>1</v>
      </c>
    </row>
    <row r="389" spans="2:11" s="29" customFormat="1" ht="15.5">
      <c r="B389" s="849"/>
      <c r="C389" s="597" t="s">
        <v>626</v>
      </c>
      <c r="D389" s="611">
        <v>0.40300000000000002</v>
      </c>
      <c r="E389" s="611">
        <v>0.121</v>
      </c>
      <c r="F389" s="612">
        <v>0.129</v>
      </c>
      <c r="G389" s="612">
        <v>4.7E-2</v>
      </c>
      <c r="H389" s="612">
        <v>0.245</v>
      </c>
      <c r="I389" s="612">
        <v>2E-3</v>
      </c>
      <c r="J389" s="611">
        <v>5.1999999999999998E-2</v>
      </c>
      <c r="K389" s="621">
        <v>1</v>
      </c>
    </row>
    <row r="390" spans="2:11" s="29" customFormat="1" ht="15.5">
      <c r="B390" s="133" t="s">
        <v>419</v>
      </c>
      <c r="C390" s="613"/>
      <c r="D390" s="614"/>
      <c r="E390" s="618"/>
      <c r="F390" s="618"/>
      <c r="G390" s="619"/>
      <c r="H390" s="619"/>
      <c r="I390" s="619"/>
      <c r="J390" s="619"/>
      <c r="K390" s="618"/>
    </row>
    <row r="391" spans="2:11" ht="14">
      <c r="B391" s="174" t="s">
        <v>314</v>
      </c>
    </row>
    <row r="392" spans="2:11" ht="15.5">
      <c r="B392" s="49" t="s">
        <v>712</v>
      </c>
      <c r="C392"/>
      <c r="D392"/>
      <c r="E392"/>
      <c r="F392" t="s">
        <v>704</v>
      </c>
      <c r="G392"/>
    </row>
    <row r="393" spans="2:11" ht="14.5" customHeight="1">
      <c r="B393" s="95" t="s">
        <v>713</v>
      </c>
      <c r="C393" s="71" t="s">
        <v>422</v>
      </c>
      <c r="D393" s="71" t="s">
        <v>423</v>
      </c>
      <c r="E393" s="71" t="s">
        <v>424</v>
      </c>
      <c r="F393" s="71" t="s">
        <v>335</v>
      </c>
      <c r="G393" s="71" t="s">
        <v>256</v>
      </c>
      <c r="H393" s="71" t="s">
        <v>257</v>
      </c>
    </row>
    <row r="394" spans="2:11" ht="14.5" customHeight="1">
      <c r="B394" s="96" t="s">
        <v>714</v>
      </c>
      <c r="C394" s="97">
        <v>10906</v>
      </c>
      <c r="D394" s="97">
        <v>8938</v>
      </c>
      <c r="E394" s="97">
        <v>10875</v>
      </c>
      <c r="F394" s="97">
        <v>14021</v>
      </c>
      <c r="G394" s="97">
        <v>20276</v>
      </c>
      <c r="H394" s="524">
        <v>28233</v>
      </c>
    </row>
    <row r="395" spans="2:11" ht="14.5" customHeight="1">
      <c r="B395" s="76" t="s">
        <v>625</v>
      </c>
      <c r="C395" s="35">
        <v>6892</v>
      </c>
      <c r="D395" s="35">
        <v>5513</v>
      </c>
      <c r="E395" s="35">
        <v>6402</v>
      </c>
      <c r="F395" s="35">
        <v>8149</v>
      </c>
      <c r="G395" s="35">
        <v>11524</v>
      </c>
      <c r="H395" s="525">
        <v>15224</v>
      </c>
    </row>
    <row r="396" spans="2:11" ht="14.5" customHeight="1">
      <c r="B396" s="76" t="s">
        <v>626</v>
      </c>
      <c r="C396" s="35">
        <v>4014</v>
      </c>
      <c r="D396" s="35">
        <v>3425</v>
      </c>
      <c r="E396" s="35">
        <v>4473</v>
      </c>
      <c r="F396" s="35">
        <v>5872</v>
      </c>
      <c r="G396" s="35">
        <v>8752</v>
      </c>
      <c r="H396" s="525">
        <v>13009</v>
      </c>
    </row>
    <row r="397" spans="2:11" ht="14.5" customHeight="1">
      <c r="B397" s="96" t="s">
        <v>715</v>
      </c>
      <c r="C397" s="97">
        <v>2741</v>
      </c>
      <c r="D397" s="97">
        <v>1533</v>
      </c>
      <c r="E397" s="107">
        <v>973</v>
      </c>
      <c r="F397" s="97">
        <v>4108</v>
      </c>
      <c r="G397" s="97">
        <v>5773</v>
      </c>
      <c r="H397" s="524">
        <v>9682</v>
      </c>
    </row>
    <row r="398" spans="2:11" ht="14.5" customHeight="1">
      <c r="B398" s="76" t="s">
        <v>625</v>
      </c>
      <c r="C398" s="32">
        <v>737</v>
      </c>
      <c r="D398" s="32">
        <v>924</v>
      </c>
      <c r="E398" s="32">
        <v>590</v>
      </c>
      <c r="F398" s="35">
        <v>2459</v>
      </c>
      <c r="G398" s="35">
        <v>3476</v>
      </c>
      <c r="H398" s="525">
        <v>5550</v>
      </c>
    </row>
    <row r="399" spans="2:11" ht="14.5" customHeight="1">
      <c r="B399" s="76" t="s">
        <v>626</v>
      </c>
      <c r="C399" s="35">
        <v>2004</v>
      </c>
      <c r="D399" s="32">
        <v>609</v>
      </c>
      <c r="E399" s="32">
        <v>383</v>
      </c>
      <c r="F399" s="35">
        <v>1649</v>
      </c>
      <c r="G399" s="35">
        <v>2297</v>
      </c>
      <c r="H399" s="525">
        <v>4132</v>
      </c>
    </row>
    <row r="400" spans="2:11" ht="14.5" customHeight="1">
      <c r="B400" s="96" t="s">
        <v>716</v>
      </c>
      <c r="C400" s="97">
        <v>4309</v>
      </c>
      <c r="D400" s="97">
        <v>5001</v>
      </c>
      <c r="E400" s="97">
        <v>6258</v>
      </c>
      <c r="F400" s="97">
        <v>2907</v>
      </c>
      <c r="G400" s="97">
        <v>2129</v>
      </c>
      <c r="H400" s="524">
        <v>2702</v>
      </c>
    </row>
    <row r="401" spans="2:8" ht="14.5" customHeight="1">
      <c r="B401" s="76" t="s">
        <v>625</v>
      </c>
      <c r="C401" s="35">
        <v>2065</v>
      </c>
      <c r="D401" s="35">
        <v>2861</v>
      </c>
      <c r="E401" s="35">
        <v>3151</v>
      </c>
      <c r="F401" s="35">
        <v>1446</v>
      </c>
      <c r="G401" s="35">
        <v>1165</v>
      </c>
      <c r="H401" s="525">
        <v>1549</v>
      </c>
    </row>
    <row r="402" spans="2:8" ht="14.5" customHeight="1">
      <c r="B402" s="76" t="s">
        <v>626</v>
      </c>
      <c r="C402" s="35">
        <v>2244</v>
      </c>
      <c r="D402" s="35">
        <v>2140</v>
      </c>
      <c r="E402" s="35">
        <v>3107</v>
      </c>
      <c r="F402" s="35">
        <v>1461</v>
      </c>
      <c r="G402" s="32">
        <v>964</v>
      </c>
      <c r="H402" s="32">
        <v>1153</v>
      </c>
    </row>
    <row r="403" spans="2:8" ht="14.5" customHeight="1">
      <c r="B403" s="96" t="s">
        <v>717</v>
      </c>
      <c r="C403" s="97">
        <v>30360</v>
      </c>
      <c r="D403" s="97">
        <v>29408</v>
      </c>
      <c r="E403" s="97">
        <v>25708</v>
      </c>
      <c r="F403" s="97">
        <v>21437</v>
      </c>
      <c r="G403" s="97">
        <v>22459</v>
      </c>
      <c r="H403" s="524">
        <v>27569</v>
      </c>
    </row>
    <row r="404" spans="2:8" ht="14.5" customHeight="1">
      <c r="B404" s="76" t="s">
        <v>625</v>
      </c>
      <c r="C404" s="35">
        <v>12999</v>
      </c>
      <c r="D404" s="35">
        <v>13361</v>
      </c>
      <c r="E404" s="35">
        <v>11481</v>
      </c>
      <c r="F404" s="35">
        <v>8346</v>
      </c>
      <c r="G404" s="35">
        <v>9409</v>
      </c>
      <c r="H404" s="525">
        <v>12654</v>
      </c>
    </row>
    <row r="405" spans="2:8" ht="14.5" customHeight="1">
      <c r="B405" s="76" t="s">
        <v>626</v>
      </c>
      <c r="C405" s="35">
        <v>17361</v>
      </c>
      <c r="D405" s="35">
        <v>16047</v>
      </c>
      <c r="E405" s="35">
        <v>14227</v>
      </c>
      <c r="F405" s="35">
        <v>13091</v>
      </c>
      <c r="G405" s="35">
        <v>13050</v>
      </c>
      <c r="H405" s="525">
        <v>14915</v>
      </c>
    </row>
    <row r="406" spans="2:8" ht="14.5" customHeight="1">
      <c r="B406" s="96" t="s">
        <v>718</v>
      </c>
      <c r="C406" s="97">
        <v>3977</v>
      </c>
      <c r="D406" s="97">
        <v>2984</v>
      </c>
      <c r="E406" s="97">
        <v>3775</v>
      </c>
      <c r="F406" s="97">
        <v>5821</v>
      </c>
      <c r="G406" s="97">
        <v>5802</v>
      </c>
      <c r="H406" s="524">
        <v>5404</v>
      </c>
    </row>
    <row r="407" spans="2:8" ht="14.5" customHeight="1">
      <c r="B407" s="76" t="s">
        <v>625</v>
      </c>
      <c r="C407" s="35">
        <v>2614</v>
      </c>
      <c r="D407" s="35">
        <v>2020</v>
      </c>
      <c r="E407" s="35">
        <v>2461</v>
      </c>
      <c r="F407" s="35">
        <v>3251</v>
      </c>
      <c r="G407" s="35">
        <v>3117</v>
      </c>
      <c r="H407" s="525">
        <v>2936</v>
      </c>
    </row>
    <row r="408" spans="2:8" ht="14.5" customHeight="1">
      <c r="B408" s="76" t="s">
        <v>626</v>
      </c>
      <c r="C408" s="35">
        <v>1363</v>
      </c>
      <c r="D408" s="32">
        <v>964</v>
      </c>
      <c r="E408" s="35">
        <v>1314</v>
      </c>
      <c r="F408" s="35">
        <v>2570</v>
      </c>
      <c r="G408" s="35">
        <v>2685</v>
      </c>
      <c r="H408" s="525">
        <v>2468</v>
      </c>
    </row>
    <row r="409" spans="2:8" ht="14.5" customHeight="1">
      <c r="B409" s="96" t="s">
        <v>719</v>
      </c>
      <c r="C409" s="97">
        <v>9309</v>
      </c>
      <c r="D409" s="97">
        <v>7540</v>
      </c>
      <c r="E409" s="97">
        <v>9427</v>
      </c>
      <c r="F409" s="97">
        <v>9171</v>
      </c>
      <c r="G409" s="97">
        <v>10168</v>
      </c>
      <c r="H409" s="524">
        <v>10882</v>
      </c>
    </row>
    <row r="410" spans="2:8" ht="14.5" customHeight="1">
      <c r="B410" s="76" t="s">
        <v>625</v>
      </c>
      <c r="C410" s="35">
        <v>5984</v>
      </c>
      <c r="D410" s="35">
        <v>4930</v>
      </c>
      <c r="E410" s="35">
        <v>5888</v>
      </c>
      <c r="F410" s="35">
        <v>5631</v>
      </c>
      <c r="G410" s="35">
        <v>6528</v>
      </c>
      <c r="H410" s="525">
        <v>7040</v>
      </c>
    </row>
    <row r="411" spans="2:8" ht="14.5" customHeight="1">
      <c r="B411" s="76" t="s">
        <v>626</v>
      </c>
      <c r="C411" s="35">
        <v>3325</v>
      </c>
      <c r="D411" s="35">
        <v>2610</v>
      </c>
      <c r="E411" s="35">
        <v>3539</v>
      </c>
      <c r="F411" s="35">
        <v>3540</v>
      </c>
      <c r="G411" s="35">
        <v>3640</v>
      </c>
      <c r="H411" s="525">
        <v>3842</v>
      </c>
    </row>
    <row r="412" spans="2:8" ht="14.5" customHeight="1">
      <c r="B412" s="96" t="s">
        <v>720</v>
      </c>
      <c r="C412" s="97">
        <v>11228</v>
      </c>
      <c r="D412" s="97">
        <v>14241</v>
      </c>
      <c r="E412" s="97">
        <v>14220</v>
      </c>
      <c r="F412" s="97">
        <v>13020</v>
      </c>
      <c r="G412" s="97">
        <v>13105</v>
      </c>
      <c r="H412" s="524">
        <v>15277</v>
      </c>
    </row>
    <row r="413" spans="2:8" ht="14.5" customHeight="1">
      <c r="B413" s="76" t="s">
        <v>625</v>
      </c>
      <c r="C413" s="35">
        <v>9292</v>
      </c>
      <c r="D413" s="35">
        <v>11391</v>
      </c>
      <c r="E413" s="35">
        <v>11423</v>
      </c>
      <c r="F413" s="35">
        <v>10402</v>
      </c>
      <c r="G413" s="35">
        <v>10296</v>
      </c>
      <c r="H413" s="525">
        <v>11881</v>
      </c>
    </row>
    <row r="414" spans="2:8" ht="14.5" customHeight="1">
      <c r="B414" s="76" t="s">
        <v>626</v>
      </c>
      <c r="C414" s="35">
        <v>1936</v>
      </c>
      <c r="D414" s="35">
        <v>2850</v>
      </c>
      <c r="E414" s="35">
        <v>2797</v>
      </c>
      <c r="F414" s="35">
        <v>2618</v>
      </c>
      <c r="G414" s="35">
        <v>2809</v>
      </c>
      <c r="H414" s="525">
        <v>3396</v>
      </c>
    </row>
    <row r="415" spans="2:8" ht="14.5" customHeight="1">
      <c r="B415" s="96" t="s">
        <v>721</v>
      </c>
      <c r="C415" s="97">
        <v>4302</v>
      </c>
      <c r="D415" s="97">
        <v>2576</v>
      </c>
      <c r="E415" s="97">
        <v>2907</v>
      </c>
      <c r="F415" s="97">
        <v>4160</v>
      </c>
      <c r="G415" s="97">
        <v>4741</v>
      </c>
      <c r="H415" s="524">
        <v>5106</v>
      </c>
    </row>
    <row r="416" spans="2:8" ht="14.5" customHeight="1">
      <c r="B416" s="76" t="s">
        <v>625</v>
      </c>
      <c r="C416" s="35">
        <v>2597</v>
      </c>
      <c r="D416" s="35">
        <v>1725</v>
      </c>
      <c r="E416" s="35">
        <v>1909</v>
      </c>
      <c r="F416" s="35">
        <v>2514</v>
      </c>
      <c r="G416" s="35">
        <v>2771</v>
      </c>
      <c r="H416" s="525">
        <v>2901</v>
      </c>
    </row>
    <row r="417" spans="2:8" ht="14.5" customHeight="1">
      <c r="B417" s="76" t="s">
        <v>626</v>
      </c>
      <c r="C417" s="35">
        <v>1705</v>
      </c>
      <c r="D417" s="32">
        <v>851</v>
      </c>
      <c r="E417" s="32">
        <v>998</v>
      </c>
      <c r="F417" s="35">
        <v>1646</v>
      </c>
      <c r="G417" s="35">
        <v>1970</v>
      </c>
      <c r="H417" s="525">
        <v>2205</v>
      </c>
    </row>
    <row r="418" spans="2:8" ht="14.5" customHeight="1">
      <c r="B418" s="96" t="s">
        <v>722</v>
      </c>
      <c r="C418" s="97">
        <v>7230</v>
      </c>
      <c r="D418" s="97">
        <v>8251</v>
      </c>
      <c r="E418" s="97">
        <v>6726</v>
      </c>
      <c r="F418" s="97">
        <v>6296</v>
      </c>
      <c r="G418" s="97">
        <v>7625</v>
      </c>
      <c r="H418" s="524">
        <v>9454</v>
      </c>
    </row>
    <row r="419" spans="2:8" ht="14.5" customHeight="1">
      <c r="B419" s="76" t="s">
        <v>625</v>
      </c>
      <c r="C419" s="35">
        <v>3545</v>
      </c>
      <c r="D419" s="35">
        <v>4442</v>
      </c>
      <c r="E419" s="35">
        <v>3477</v>
      </c>
      <c r="F419" s="35">
        <v>3297</v>
      </c>
      <c r="G419" s="35">
        <v>3910</v>
      </c>
      <c r="H419" s="525">
        <v>4896</v>
      </c>
    </row>
    <row r="420" spans="2:8" ht="14.5" customHeight="1">
      <c r="B420" s="76" t="s">
        <v>626</v>
      </c>
      <c r="C420" s="35">
        <v>3685</v>
      </c>
      <c r="D420" s="35">
        <v>3809</v>
      </c>
      <c r="E420" s="35">
        <v>3249</v>
      </c>
      <c r="F420" s="35">
        <v>2999</v>
      </c>
      <c r="G420" s="35">
        <v>3715</v>
      </c>
      <c r="H420" s="525">
        <v>4558</v>
      </c>
    </row>
    <row r="421" spans="2:8" ht="14.5" customHeight="1">
      <c r="B421" s="96" t="s">
        <v>723</v>
      </c>
      <c r="C421" s="97">
        <v>6831</v>
      </c>
      <c r="D421" s="97">
        <v>8688</v>
      </c>
      <c r="E421" s="97">
        <v>5337</v>
      </c>
      <c r="F421" s="97">
        <v>7507</v>
      </c>
      <c r="G421" s="97">
        <v>3785</v>
      </c>
      <c r="H421" s="524">
        <v>5407</v>
      </c>
    </row>
    <row r="422" spans="2:8" ht="14.5" customHeight="1">
      <c r="B422" s="76" t="s">
        <v>625</v>
      </c>
      <c r="C422" s="35">
        <v>3183</v>
      </c>
      <c r="D422" s="35">
        <v>3952</v>
      </c>
      <c r="E422" s="35">
        <v>2308</v>
      </c>
      <c r="F422" s="35">
        <v>3262</v>
      </c>
      <c r="G422" s="35">
        <v>1575</v>
      </c>
      <c r="H422" s="525">
        <v>2225</v>
      </c>
    </row>
    <row r="423" spans="2:8" ht="14.5" customHeight="1">
      <c r="B423" s="76" t="s">
        <v>626</v>
      </c>
      <c r="C423" s="35">
        <v>3648</v>
      </c>
      <c r="D423" s="35">
        <v>4736</v>
      </c>
      <c r="E423" s="35">
        <v>3029</v>
      </c>
      <c r="F423" s="35">
        <v>4245</v>
      </c>
      <c r="G423" s="35">
        <v>2210</v>
      </c>
      <c r="H423" s="525">
        <v>3182</v>
      </c>
    </row>
    <row r="424" spans="2:8" s="29" customFormat="1" ht="14.5">
      <c r="B424" s="156" t="s">
        <v>724</v>
      </c>
      <c r="C424"/>
      <c r="D424"/>
      <c r="E424"/>
      <c r="F424"/>
      <c r="G424"/>
      <c r="H424" s="448"/>
    </row>
    <row r="426" spans="2:8" ht="15.5">
      <c r="B426" s="49" t="s">
        <v>725</v>
      </c>
      <c r="C426"/>
      <c r="D426"/>
      <c r="E426"/>
      <c r="F426"/>
      <c r="G426"/>
    </row>
    <row r="427" spans="2:8" ht="15.5">
      <c r="B427" s="95" t="s">
        <v>726</v>
      </c>
      <c r="C427" s="71" t="s">
        <v>422</v>
      </c>
      <c r="D427" s="71" t="s">
        <v>423</v>
      </c>
      <c r="E427" s="71" t="s">
        <v>424</v>
      </c>
      <c r="F427" s="71" t="s">
        <v>335</v>
      </c>
      <c r="G427" s="71" t="s">
        <v>256</v>
      </c>
      <c r="H427" s="71" t="s">
        <v>257</v>
      </c>
    </row>
    <row r="428" spans="2:8" ht="15.5">
      <c r="B428" s="190" t="s">
        <v>727</v>
      </c>
      <c r="C428" s="191">
        <v>17486</v>
      </c>
      <c r="D428" s="191">
        <v>9650</v>
      </c>
      <c r="E428" s="191">
        <v>9932</v>
      </c>
      <c r="F428" s="191">
        <v>8561</v>
      </c>
      <c r="G428" s="191">
        <v>35876</v>
      </c>
      <c r="H428" s="191">
        <v>14613</v>
      </c>
    </row>
    <row r="429" spans="2:8" ht="15.5">
      <c r="B429" s="76" t="s">
        <v>625</v>
      </c>
      <c r="C429" s="35">
        <v>13946</v>
      </c>
      <c r="D429" s="35">
        <v>4397</v>
      </c>
      <c r="E429" s="35">
        <v>6540</v>
      </c>
      <c r="F429" s="35">
        <v>5908</v>
      </c>
      <c r="G429" s="35">
        <v>16912</v>
      </c>
      <c r="H429" s="525">
        <v>5993</v>
      </c>
    </row>
    <row r="430" spans="2:8" ht="15.5">
      <c r="B430" s="76" t="s">
        <v>626</v>
      </c>
      <c r="C430" s="35">
        <v>3540</v>
      </c>
      <c r="D430" s="35">
        <v>5253</v>
      </c>
      <c r="E430" s="35">
        <v>3392</v>
      </c>
      <c r="F430" s="35">
        <v>2653</v>
      </c>
      <c r="G430" s="35">
        <v>18964</v>
      </c>
      <c r="H430" s="525">
        <v>8620</v>
      </c>
    </row>
    <row r="431" spans="2:8" ht="15.5">
      <c r="B431" s="109" t="s">
        <v>728</v>
      </c>
      <c r="C431" s="110">
        <v>0.79800000000000004</v>
      </c>
      <c r="D431" s="110">
        <v>0.45600000000000002</v>
      </c>
      <c r="E431" s="110">
        <v>0.65800000000000003</v>
      </c>
      <c r="F431" s="110">
        <v>0.69</v>
      </c>
      <c r="G431" s="110">
        <v>0.47099999999999997</v>
      </c>
      <c r="H431" s="110">
        <v>0.41</v>
      </c>
    </row>
    <row r="432" spans="2:8" ht="15.5">
      <c r="B432" s="109" t="s">
        <v>729</v>
      </c>
      <c r="C432" s="110">
        <v>0.20200000000000001</v>
      </c>
      <c r="D432" s="110">
        <v>0.54400000000000004</v>
      </c>
      <c r="E432" s="110">
        <v>0.34200000000000003</v>
      </c>
      <c r="F432" s="110">
        <v>0.31</v>
      </c>
      <c r="G432" s="110">
        <v>0.52900000000000003</v>
      </c>
      <c r="H432" s="110">
        <v>0.59</v>
      </c>
    </row>
    <row r="433" spans="2:8" ht="15.5">
      <c r="B433" s="96" t="s">
        <v>730</v>
      </c>
      <c r="C433" s="107" t="s">
        <v>731</v>
      </c>
      <c r="D433" s="107" t="s">
        <v>731</v>
      </c>
      <c r="E433" s="107" t="s">
        <v>731</v>
      </c>
      <c r="F433" s="107" t="s">
        <v>731</v>
      </c>
      <c r="G433" s="97">
        <v>15354</v>
      </c>
      <c r="H433" s="524">
        <v>9061</v>
      </c>
    </row>
    <row r="434" spans="2:8" ht="15.5">
      <c r="B434" s="76" t="s">
        <v>625</v>
      </c>
      <c r="C434" s="32" t="s">
        <v>731</v>
      </c>
      <c r="D434" s="32" t="s">
        <v>731</v>
      </c>
      <c r="E434" s="32" t="s">
        <v>731</v>
      </c>
      <c r="F434" s="32" t="s">
        <v>731</v>
      </c>
      <c r="G434" s="35">
        <v>5315</v>
      </c>
      <c r="H434" s="525">
        <v>3512</v>
      </c>
    </row>
    <row r="435" spans="2:8" ht="15.5">
      <c r="B435" s="76" t="s">
        <v>626</v>
      </c>
      <c r="C435" s="32" t="s">
        <v>731</v>
      </c>
      <c r="D435" s="32" t="s">
        <v>731</v>
      </c>
      <c r="E435" s="32" t="s">
        <v>731</v>
      </c>
      <c r="F435" s="32" t="s">
        <v>731</v>
      </c>
      <c r="G435" s="35">
        <v>10039</v>
      </c>
      <c r="H435" s="525">
        <v>5549</v>
      </c>
    </row>
    <row r="436" spans="2:8" ht="15.5">
      <c r="B436" s="96" t="s">
        <v>732</v>
      </c>
      <c r="C436" s="97">
        <v>10283</v>
      </c>
      <c r="D436" s="107">
        <v>347</v>
      </c>
      <c r="E436" s="97">
        <v>1044</v>
      </c>
      <c r="F436" s="97">
        <v>5029</v>
      </c>
      <c r="G436" s="97">
        <v>6384</v>
      </c>
      <c r="H436" s="524">
        <v>200</v>
      </c>
    </row>
    <row r="437" spans="2:8" ht="15.5">
      <c r="B437" s="76" t="s">
        <v>625</v>
      </c>
      <c r="C437" s="35">
        <v>9868</v>
      </c>
      <c r="D437" s="32">
        <v>321</v>
      </c>
      <c r="E437" s="35">
        <v>1012</v>
      </c>
      <c r="F437" s="35">
        <v>4432</v>
      </c>
      <c r="G437" s="35">
        <v>5217</v>
      </c>
      <c r="H437" s="525">
        <v>193</v>
      </c>
    </row>
    <row r="438" spans="2:8" ht="15.5">
      <c r="B438" s="76" t="s">
        <v>626</v>
      </c>
      <c r="C438" s="32">
        <v>415</v>
      </c>
      <c r="D438" s="32">
        <v>26</v>
      </c>
      <c r="E438" s="32">
        <v>32</v>
      </c>
      <c r="F438" s="32">
        <v>597</v>
      </c>
      <c r="G438" s="35">
        <v>1167</v>
      </c>
      <c r="H438" s="525">
        <v>7</v>
      </c>
    </row>
    <row r="439" spans="2:8" ht="15.5">
      <c r="B439" s="96" t="s">
        <v>734</v>
      </c>
      <c r="C439" s="97">
        <v>1448</v>
      </c>
      <c r="D439" s="107">
        <v>386</v>
      </c>
      <c r="E439" s="107">
        <v>58</v>
      </c>
      <c r="F439" s="107">
        <v>769</v>
      </c>
      <c r="G439" s="97">
        <v>7580</v>
      </c>
      <c r="H439" s="524">
        <v>881</v>
      </c>
    </row>
    <row r="440" spans="2:8" ht="15.5">
      <c r="B440" s="76" t="s">
        <v>625</v>
      </c>
      <c r="C440" s="32">
        <v>820</v>
      </c>
      <c r="D440" s="32">
        <v>185</v>
      </c>
      <c r="E440" s="32">
        <v>30</v>
      </c>
      <c r="F440" s="32">
        <v>332</v>
      </c>
      <c r="G440" s="35">
        <v>3663</v>
      </c>
      <c r="H440" s="525">
        <v>378</v>
      </c>
    </row>
    <row r="441" spans="2:8" ht="15.5">
      <c r="B441" s="76" t="s">
        <v>626</v>
      </c>
      <c r="C441" s="32">
        <v>628</v>
      </c>
      <c r="D441" s="32">
        <v>201</v>
      </c>
      <c r="E441" s="32">
        <v>28</v>
      </c>
      <c r="F441" s="32">
        <v>437</v>
      </c>
      <c r="G441" s="35">
        <v>3917</v>
      </c>
      <c r="H441" s="525">
        <v>503</v>
      </c>
    </row>
    <row r="442" spans="2:8" ht="15.5">
      <c r="B442" s="96" t="s">
        <v>735</v>
      </c>
      <c r="C442" s="97">
        <v>3973</v>
      </c>
      <c r="D442" s="97">
        <v>1942</v>
      </c>
      <c r="E442" s="107">
        <v>886</v>
      </c>
      <c r="F442" s="107">
        <v>662</v>
      </c>
      <c r="G442" s="97">
        <v>3063</v>
      </c>
      <c r="H442" s="524">
        <v>1347</v>
      </c>
    </row>
    <row r="443" spans="2:8" ht="15.5">
      <c r="B443" s="76" t="s">
        <v>625</v>
      </c>
      <c r="C443" s="35">
        <v>2305</v>
      </c>
      <c r="D443" s="35">
        <v>1241</v>
      </c>
      <c r="E443" s="32">
        <v>413</v>
      </c>
      <c r="F443" s="32">
        <v>431</v>
      </c>
      <c r="G443" s="35">
        <v>1120</v>
      </c>
      <c r="H443" s="525">
        <v>541</v>
      </c>
    </row>
    <row r="444" spans="2:8" ht="15.5">
      <c r="B444" s="76" t="s">
        <v>626</v>
      </c>
      <c r="C444" s="35">
        <v>1668</v>
      </c>
      <c r="D444" s="32">
        <v>701</v>
      </c>
      <c r="E444" s="32">
        <v>473</v>
      </c>
      <c r="F444" s="32">
        <v>231</v>
      </c>
      <c r="G444" s="35">
        <v>1943</v>
      </c>
      <c r="H444" s="525">
        <v>806</v>
      </c>
    </row>
    <row r="445" spans="2:8" ht="15.5">
      <c r="B445" s="96" t="s">
        <v>736</v>
      </c>
      <c r="C445" s="97">
        <v>1300</v>
      </c>
      <c r="D445" s="97">
        <v>1250</v>
      </c>
      <c r="E445" s="107">
        <v>300</v>
      </c>
      <c r="F445" s="97">
        <v>2101</v>
      </c>
      <c r="G445" s="97">
        <v>1722</v>
      </c>
      <c r="H445" s="524">
        <v>2063</v>
      </c>
    </row>
    <row r="446" spans="2:8" ht="15.5">
      <c r="B446" s="76" t="s">
        <v>625</v>
      </c>
      <c r="C446" s="32">
        <v>624</v>
      </c>
      <c r="D446" s="32">
        <v>308</v>
      </c>
      <c r="E446" s="32">
        <v>99</v>
      </c>
      <c r="F446" s="32">
        <v>713</v>
      </c>
      <c r="G446" s="32">
        <v>696</v>
      </c>
      <c r="H446" s="32">
        <v>881</v>
      </c>
    </row>
    <row r="447" spans="2:8" ht="15.5">
      <c r="B447" s="76" t="s">
        <v>626</v>
      </c>
      <c r="C447" s="32">
        <v>676</v>
      </c>
      <c r="D447" s="32">
        <v>942</v>
      </c>
      <c r="E447" s="32">
        <v>201</v>
      </c>
      <c r="F447" s="35">
        <v>1388</v>
      </c>
      <c r="G447" s="35">
        <v>1026</v>
      </c>
      <c r="H447" s="525">
        <v>1182</v>
      </c>
    </row>
    <row r="448" spans="2:8" ht="15.5">
      <c r="B448" s="96" t="s">
        <v>737</v>
      </c>
      <c r="C448" s="107">
        <v>482</v>
      </c>
      <c r="D448" s="97">
        <v>5725</v>
      </c>
      <c r="E448" s="97">
        <v>7644</v>
      </c>
      <c r="F448" s="107" t="s">
        <v>731</v>
      </c>
      <c r="G448" s="97">
        <v>1773</v>
      </c>
      <c r="H448" s="524">
        <v>1061</v>
      </c>
    </row>
    <row r="449" spans="2:9" ht="15.5">
      <c r="B449" s="76" t="s">
        <v>625</v>
      </c>
      <c r="C449" s="32">
        <v>329</v>
      </c>
      <c r="D449" s="35">
        <v>2342</v>
      </c>
      <c r="E449" s="35">
        <v>4986</v>
      </c>
      <c r="F449" s="32" t="s">
        <v>731</v>
      </c>
      <c r="G449" s="32">
        <v>901</v>
      </c>
      <c r="H449" s="32">
        <v>488</v>
      </c>
    </row>
    <row r="450" spans="2:9" ht="15.5">
      <c r="B450" s="76" t="s">
        <v>626</v>
      </c>
      <c r="C450" s="32">
        <v>153</v>
      </c>
      <c r="D450" s="35">
        <v>3383</v>
      </c>
      <c r="E450" s="35">
        <v>2658</v>
      </c>
      <c r="F450" s="32" t="s">
        <v>731</v>
      </c>
      <c r="G450" s="32">
        <v>872</v>
      </c>
      <c r="H450" s="32">
        <v>573</v>
      </c>
    </row>
    <row r="451" spans="2:9" s="29" customFormat="1" ht="14.5">
      <c r="B451" s="156" t="s">
        <v>675</v>
      </c>
      <c r="C451"/>
      <c r="D451"/>
      <c r="E451"/>
      <c r="F451"/>
      <c r="G451"/>
      <c r="H451" s="448"/>
      <c r="I451" s="82"/>
    </row>
    <row r="452" spans="2:9" ht="14">
      <c r="B452" s="174" t="s">
        <v>314</v>
      </c>
    </row>
    <row r="453" spans="2:9" s="28" customFormat="1" ht="15.5">
      <c r="B453" s="25" t="s">
        <v>68</v>
      </c>
      <c r="C453" s="27"/>
      <c r="H453" s="450"/>
      <c r="I453" s="82"/>
    </row>
    <row r="454" spans="2:9" ht="15.5">
      <c r="B454" s="175"/>
      <c r="C454" s="27"/>
    </row>
    <row r="455" spans="2:9" ht="15.5">
      <c r="B455" s="49" t="s">
        <v>738</v>
      </c>
      <c r="C455"/>
      <c r="D455"/>
      <c r="E455"/>
      <c r="F455"/>
      <c r="G455"/>
    </row>
    <row r="456" spans="2:9" ht="15.5">
      <c r="B456" s="95" t="s">
        <v>640</v>
      </c>
      <c r="C456" s="71">
        <v>2017</v>
      </c>
      <c r="D456" s="71">
        <v>2018</v>
      </c>
      <c r="E456" s="71">
        <v>2019</v>
      </c>
      <c r="F456" s="71" t="s">
        <v>335</v>
      </c>
      <c r="G456" s="71" t="s">
        <v>256</v>
      </c>
      <c r="H456" s="71" t="s">
        <v>257</v>
      </c>
    </row>
    <row r="457" spans="2:9" ht="15.5">
      <c r="B457" s="96" t="s">
        <v>739</v>
      </c>
      <c r="C457" s="97">
        <v>119092</v>
      </c>
      <c r="D457" s="97">
        <v>140056</v>
      </c>
      <c r="E457" s="97">
        <v>146317</v>
      </c>
      <c r="F457" s="97">
        <v>143950</v>
      </c>
      <c r="G457" s="97">
        <v>158809</v>
      </c>
      <c r="H457" s="97">
        <v>179458</v>
      </c>
    </row>
    <row r="458" spans="2:9" ht="15.5">
      <c r="B458" s="76" t="s">
        <v>625</v>
      </c>
      <c r="C458" s="35">
        <v>62455</v>
      </c>
      <c r="D458" s="35">
        <v>76141</v>
      </c>
      <c r="E458" s="35">
        <v>80867</v>
      </c>
      <c r="F458" s="35">
        <v>77397</v>
      </c>
      <c r="G458" s="35">
        <v>83098</v>
      </c>
      <c r="H458" s="35">
        <v>93318</v>
      </c>
    </row>
    <row r="459" spans="2:9" ht="15.5">
      <c r="B459" s="76" t="s">
        <v>626</v>
      </c>
      <c r="C459" s="35">
        <v>56637</v>
      </c>
      <c r="D459" s="35">
        <v>63915</v>
      </c>
      <c r="E459" s="35">
        <v>65450</v>
      </c>
      <c r="F459" s="35">
        <v>66553</v>
      </c>
      <c r="G459" s="35">
        <v>75711</v>
      </c>
      <c r="H459" s="35">
        <v>86140</v>
      </c>
    </row>
    <row r="460" spans="2:9" ht="15.5">
      <c r="B460" s="109" t="s">
        <v>627</v>
      </c>
      <c r="C460" s="110">
        <v>0.52400000000000002</v>
      </c>
      <c r="D460" s="110">
        <v>0.54400000000000004</v>
      </c>
      <c r="E460" s="110">
        <v>0.55300000000000005</v>
      </c>
      <c r="F460" s="110">
        <v>0.53800000000000003</v>
      </c>
      <c r="G460" s="110">
        <v>0.52300000000000002</v>
      </c>
      <c r="H460" s="110">
        <v>0.52</v>
      </c>
    </row>
    <row r="461" spans="2:9" ht="15.5">
      <c r="B461" s="109" t="s">
        <v>628</v>
      </c>
      <c r="C461" s="110">
        <v>0.47599999999999998</v>
      </c>
      <c r="D461" s="110">
        <v>0.45600000000000002</v>
      </c>
      <c r="E461" s="110">
        <v>0.44700000000000001</v>
      </c>
      <c r="F461" s="110">
        <v>0.46200000000000002</v>
      </c>
      <c r="G461" s="110">
        <v>0.47699999999999998</v>
      </c>
      <c r="H461" s="110">
        <v>0.48</v>
      </c>
    </row>
    <row r="462" spans="2:9" ht="15.5">
      <c r="B462" s="135" t="s">
        <v>645</v>
      </c>
      <c r="C462" s="136">
        <v>36274</v>
      </c>
      <c r="D462" s="136">
        <v>44788</v>
      </c>
      <c r="E462" s="136">
        <v>48858</v>
      </c>
      <c r="F462" s="136">
        <v>42227</v>
      </c>
      <c r="G462" s="136">
        <v>51125</v>
      </c>
      <c r="H462" s="136">
        <v>60874</v>
      </c>
    </row>
    <row r="463" spans="2:9" ht="15.5">
      <c r="B463" s="76" t="s">
        <v>625</v>
      </c>
      <c r="C463" s="35">
        <v>18782</v>
      </c>
      <c r="D463" s="35">
        <v>24773</v>
      </c>
      <c r="E463" s="35">
        <v>28236</v>
      </c>
      <c r="F463" s="35">
        <v>22200</v>
      </c>
      <c r="G463" s="35">
        <v>26583</v>
      </c>
      <c r="H463" s="35">
        <v>31660</v>
      </c>
    </row>
    <row r="464" spans="2:9" ht="15.5">
      <c r="B464" s="76" t="s">
        <v>626</v>
      </c>
      <c r="C464" s="35">
        <v>17492</v>
      </c>
      <c r="D464" s="35">
        <v>20015</v>
      </c>
      <c r="E464" s="35">
        <v>20622</v>
      </c>
      <c r="F464" s="35">
        <v>20027</v>
      </c>
      <c r="G464" s="35">
        <v>24542</v>
      </c>
      <c r="H464" s="35">
        <v>29214</v>
      </c>
    </row>
    <row r="465" spans="2:9" ht="31">
      <c r="B465" s="135" t="s">
        <v>646</v>
      </c>
      <c r="C465" s="136">
        <v>53685</v>
      </c>
      <c r="D465" s="136">
        <v>58105</v>
      </c>
      <c r="E465" s="136">
        <v>62367</v>
      </c>
      <c r="F465" s="136">
        <v>63038</v>
      </c>
      <c r="G465" s="136">
        <v>70378</v>
      </c>
      <c r="H465" s="136">
        <v>77705</v>
      </c>
    </row>
    <row r="466" spans="2:9" ht="15.5">
      <c r="B466" s="76" t="s">
        <v>625</v>
      </c>
      <c r="C466" s="35">
        <v>24504</v>
      </c>
      <c r="D466" s="35">
        <v>26749</v>
      </c>
      <c r="E466" s="35">
        <v>28271</v>
      </c>
      <c r="F466" s="35">
        <v>29024</v>
      </c>
      <c r="G466" s="35">
        <v>31717</v>
      </c>
      <c r="H466" s="35">
        <v>35370</v>
      </c>
    </row>
    <row r="467" spans="2:9" ht="15.5">
      <c r="B467" s="76" t="s">
        <v>626</v>
      </c>
      <c r="C467" s="35">
        <v>29181</v>
      </c>
      <c r="D467" s="35">
        <v>31356</v>
      </c>
      <c r="E467" s="35">
        <v>34096</v>
      </c>
      <c r="F467" s="35">
        <v>34014</v>
      </c>
      <c r="G467" s="35">
        <v>38661</v>
      </c>
      <c r="H467" s="35">
        <v>42335</v>
      </c>
    </row>
    <row r="468" spans="2:9" ht="15.5">
      <c r="B468" s="135" t="s">
        <v>647</v>
      </c>
      <c r="C468" s="136">
        <v>29133</v>
      </c>
      <c r="D468" s="136">
        <v>37163</v>
      </c>
      <c r="E468" s="136">
        <v>35092</v>
      </c>
      <c r="F468" s="136">
        <v>38685</v>
      </c>
      <c r="G468" s="136">
        <v>37306</v>
      </c>
      <c r="H468" s="136">
        <v>40879</v>
      </c>
    </row>
    <row r="469" spans="2:9" ht="15.5">
      <c r="B469" s="76" t="s">
        <v>625</v>
      </c>
      <c r="C469" s="35">
        <v>19169</v>
      </c>
      <c r="D469" s="35">
        <v>24619</v>
      </c>
      <c r="E469" s="35">
        <v>24360</v>
      </c>
      <c r="F469" s="35">
        <v>26173</v>
      </c>
      <c r="G469" s="35">
        <v>24798</v>
      </c>
      <c r="H469" s="35">
        <v>26288</v>
      </c>
    </row>
    <row r="470" spans="2:9" ht="15.5">
      <c r="B470" s="76" t="s">
        <v>626</v>
      </c>
      <c r="C470" s="35">
        <v>9964</v>
      </c>
      <c r="D470" s="35">
        <v>12544</v>
      </c>
      <c r="E470" s="35">
        <v>10732</v>
      </c>
      <c r="F470" s="35">
        <v>12512</v>
      </c>
      <c r="G470" s="35">
        <v>12508</v>
      </c>
      <c r="H470" s="35">
        <v>14591</v>
      </c>
    </row>
    <row r="471" spans="2:9" s="29" customFormat="1" ht="14.5">
      <c r="B471" s="81" t="s">
        <v>740</v>
      </c>
      <c r="C471"/>
      <c r="D471"/>
      <c r="E471"/>
      <c r="F471"/>
      <c r="G471"/>
      <c r="H471" s="448"/>
      <c r="I471" s="82"/>
    </row>
    <row r="473" spans="2:9" ht="15.5">
      <c r="B473" s="49" t="s">
        <v>741</v>
      </c>
      <c r="C473"/>
      <c r="D473"/>
      <c r="E473"/>
      <c r="F473"/>
      <c r="G473"/>
    </row>
    <row r="474" spans="2:9" ht="15.5">
      <c r="B474" s="77" t="s">
        <v>640</v>
      </c>
      <c r="C474" s="71">
        <v>2017</v>
      </c>
      <c r="D474" s="71">
        <v>2018</v>
      </c>
      <c r="E474" s="71">
        <v>2019</v>
      </c>
      <c r="F474" s="71" t="s">
        <v>335</v>
      </c>
      <c r="G474" s="71" t="s">
        <v>256</v>
      </c>
      <c r="H474" s="71" t="s">
        <v>257</v>
      </c>
    </row>
    <row r="475" spans="2:9" ht="14.5" customHeight="1">
      <c r="B475" s="78" t="s">
        <v>742</v>
      </c>
      <c r="C475" s="192">
        <v>0.56799999999999995</v>
      </c>
      <c r="D475" s="192">
        <v>0.58699999999999997</v>
      </c>
      <c r="E475" s="192">
        <v>0.58299999999999996</v>
      </c>
      <c r="F475" s="192">
        <v>0.55100000000000005</v>
      </c>
      <c r="G475" s="192">
        <v>0.64100000000000001</v>
      </c>
      <c r="H475" s="192">
        <v>0.63400000000000001</v>
      </c>
    </row>
    <row r="476" spans="2:9" ht="14.5" customHeight="1">
      <c r="B476" s="80" t="s">
        <v>625</v>
      </c>
      <c r="C476" s="169">
        <v>0.627</v>
      </c>
      <c r="D476" s="169">
        <v>0.66300000000000003</v>
      </c>
      <c r="E476" s="169">
        <v>0.66400000000000003</v>
      </c>
      <c r="F476" s="169">
        <v>0.625</v>
      </c>
      <c r="G476" s="169">
        <v>0.71699999999999997</v>
      </c>
      <c r="H476" s="169">
        <v>0.71399999999999997</v>
      </c>
    </row>
    <row r="477" spans="2:9" ht="14.5" customHeight="1">
      <c r="B477" s="80" t="s">
        <v>626</v>
      </c>
      <c r="C477" s="169">
        <v>0.51400000000000001</v>
      </c>
      <c r="D477" s="169">
        <v>0.51600000000000001</v>
      </c>
      <c r="E477" s="169">
        <v>0.50700000000000001</v>
      </c>
      <c r="F477" s="169">
        <v>0.48399999999999999</v>
      </c>
      <c r="G477" s="169">
        <v>0.57399999999999995</v>
      </c>
      <c r="H477" s="169">
        <v>0.56599999999999995</v>
      </c>
    </row>
    <row r="478" spans="2:9" ht="14.5" customHeight="1">
      <c r="B478" s="74" t="s">
        <v>743</v>
      </c>
      <c r="C478" s="192">
        <v>0.58599999999999997</v>
      </c>
      <c r="D478" s="192">
        <v>0.6</v>
      </c>
      <c r="E478" s="192">
        <v>0.60699999999999998</v>
      </c>
      <c r="F478" s="192">
        <v>0.50800000000000001</v>
      </c>
      <c r="G478" s="192">
        <v>0.65200000000000002</v>
      </c>
      <c r="H478" s="192">
        <v>0.64900000000000002</v>
      </c>
    </row>
    <row r="479" spans="2:9" ht="14.5" customHeight="1">
      <c r="B479" s="76" t="s">
        <v>625</v>
      </c>
      <c r="C479" s="169">
        <v>0.61599999999999999</v>
      </c>
      <c r="D479" s="169">
        <v>0.64900000000000002</v>
      </c>
      <c r="E479" s="169">
        <v>0.66400000000000003</v>
      </c>
      <c r="F479" s="193">
        <v>0.53400000000000003</v>
      </c>
      <c r="G479" s="193">
        <v>0.70199999999999996</v>
      </c>
      <c r="H479" s="193">
        <v>0.70899999999999996</v>
      </c>
    </row>
    <row r="480" spans="2:9" ht="14.5" customHeight="1">
      <c r="B480" s="76" t="s">
        <v>626</v>
      </c>
      <c r="C480" s="169">
        <v>0.55800000000000005</v>
      </c>
      <c r="D480" s="169">
        <v>0.55000000000000004</v>
      </c>
      <c r="E480" s="169">
        <v>0.54200000000000004</v>
      </c>
      <c r="F480" s="193">
        <v>0.48099999999999998</v>
      </c>
      <c r="G480" s="193">
        <v>0.60499999999999998</v>
      </c>
      <c r="H480" s="193">
        <v>0.59499999999999997</v>
      </c>
    </row>
    <row r="481" spans="2:10" ht="14.5" customHeight="1">
      <c r="B481" s="74" t="s">
        <v>744</v>
      </c>
      <c r="C481" s="192">
        <v>0.54300000000000004</v>
      </c>
      <c r="D481" s="192">
        <v>0.55100000000000005</v>
      </c>
      <c r="E481" s="192">
        <v>0.55400000000000005</v>
      </c>
      <c r="F481" s="192">
        <v>0.54800000000000004</v>
      </c>
      <c r="G481" s="192">
        <v>0.59699999999999998</v>
      </c>
      <c r="H481" s="192">
        <v>0.59699999999999998</v>
      </c>
    </row>
    <row r="482" spans="2:10" ht="14.5" customHeight="1">
      <c r="B482" s="76" t="s">
        <v>625</v>
      </c>
      <c r="C482" s="169">
        <v>0.56000000000000005</v>
      </c>
      <c r="D482" s="169">
        <v>0.57199999999999995</v>
      </c>
      <c r="E482" s="169">
        <v>0.56999999999999995</v>
      </c>
      <c r="F482" s="193">
        <v>0.57399999999999995</v>
      </c>
      <c r="G482" s="193">
        <v>0.624</v>
      </c>
      <c r="H482" s="193">
        <v>0.63800000000000001</v>
      </c>
    </row>
    <row r="483" spans="2:10" ht="14.5" customHeight="1">
      <c r="B483" s="76" t="s">
        <v>626</v>
      </c>
      <c r="C483" s="169">
        <v>0.52900000000000003</v>
      </c>
      <c r="D483" s="169">
        <v>0.53400000000000003</v>
      </c>
      <c r="E483" s="169">
        <v>0.54200000000000004</v>
      </c>
      <c r="F483" s="193">
        <v>0.52700000000000002</v>
      </c>
      <c r="G483" s="193">
        <v>0.57699999999999996</v>
      </c>
      <c r="H483" s="193">
        <v>0.56599999999999995</v>
      </c>
    </row>
    <row r="484" spans="2:10" ht="14.5" customHeight="1">
      <c r="B484" s="74" t="s">
        <v>647</v>
      </c>
      <c r="C484" s="192">
        <v>0.59299999999999997</v>
      </c>
      <c r="D484" s="192">
        <v>0.64</v>
      </c>
      <c r="E484" s="192">
        <v>0.60699999999999998</v>
      </c>
      <c r="F484" s="192">
        <v>0.61499999999999999</v>
      </c>
      <c r="G484" s="192">
        <v>0.72399999999999998</v>
      </c>
      <c r="H484" s="192">
        <v>0.69499999999999995</v>
      </c>
    </row>
    <row r="485" spans="2:10" ht="14.5" customHeight="1">
      <c r="B485" s="76" t="s">
        <v>625</v>
      </c>
      <c r="C485" s="169">
        <v>0.754</v>
      </c>
      <c r="D485" s="169">
        <v>0.83299999999999996</v>
      </c>
      <c r="E485" s="169">
        <v>0.82199999999999995</v>
      </c>
      <c r="F485" s="193">
        <v>0.82799999999999996</v>
      </c>
      <c r="G485" s="193">
        <v>0.91200000000000003</v>
      </c>
      <c r="H485" s="193">
        <v>0.85899999999999999</v>
      </c>
    </row>
    <row r="486" spans="2:10" ht="14.5" customHeight="1">
      <c r="B486" s="76" t="s">
        <v>626</v>
      </c>
      <c r="C486" s="169">
        <v>0.42</v>
      </c>
      <c r="D486" s="169">
        <v>0.42899999999999999</v>
      </c>
      <c r="E486" s="169">
        <v>0.38100000000000001</v>
      </c>
      <c r="F486" s="193">
        <v>0.39900000000000002</v>
      </c>
      <c r="G486" s="193">
        <v>0.51500000000000001</v>
      </c>
      <c r="H486" s="193">
        <v>0.51700000000000002</v>
      </c>
    </row>
    <row r="487" spans="2:10" s="29" customFormat="1" ht="14.5">
      <c r="B487" s="81" t="s">
        <v>740</v>
      </c>
      <c r="C487"/>
      <c r="D487"/>
      <c r="E487"/>
      <c r="F487"/>
      <c r="G487"/>
      <c r="H487" s="448"/>
    </row>
    <row r="488" spans="2:10" ht="15" customHeight="1">
      <c r="J488" s="380"/>
    </row>
    <row r="489" spans="2:10" ht="15.5">
      <c r="B489" s="49" t="s">
        <v>745</v>
      </c>
      <c r="C489"/>
      <c r="D489"/>
      <c r="E489"/>
      <c r="F489"/>
      <c r="G489"/>
      <c r="J489" s="380"/>
    </row>
    <row r="490" spans="2:10" ht="15.5">
      <c r="B490" s="95" t="s">
        <v>640</v>
      </c>
      <c r="C490" s="71" t="s">
        <v>422</v>
      </c>
      <c r="D490" s="71" t="s">
        <v>423</v>
      </c>
      <c r="E490" s="71" t="s">
        <v>424</v>
      </c>
      <c r="F490" s="71" t="s">
        <v>335</v>
      </c>
      <c r="G490" s="71" t="s">
        <v>256</v>
      </c>
      <c r="H490" s="547" t="s">
        <v>257</v>
      </c>
      <c r="J490" s="381"/>
    </row>
    <row r="491" spans="2:10" ht="15.5">
      <c r="B491" s="135" t="s">
        <v>739</v>
      </c>
      <c r="C491" s="136">
        <v>36046</v>
      </c>
      <c r="D491" s="136">
        <v>35592</v>
      </c>
      <c r="E491" s="136">
        <v>37055</v>
      </c>
      <c r="F491" s="136">
        <v>43348</v>
      </c>
      <c r="G491" s="136">
        <v>47655</v>
      </c>
      <c r="H491" s="136">
        <v>53372</v>
      </c>
      <c r="J491" s="382"/>
    </row>
    <row r="492" spans="2:10" ht="15.5">
      <c r="B492" s="76" t="s">
        <v>625</v>
      </c>
      <c r="C492" s="35">
        <v>24032</v>
      </c>
      <c r="D492" s="35">
        <v>24508</v>
      </c>
      <c r="E492" s="35">
        <v>25158</v>
      </c>
      <c r="F492" s="35">
        <v>28113</v>
      </c>
      <c r="G492" s="35">
        <v>30327</v>
      </c>
      <c r="H492" s="525">
        <v>33684</v>
      </c>
      <c r="J492" s="382"/>
    </row>
    <row r="493" spans="2:10" ht="15.5">
      <c r="B493" s="76" t="s">
        <v>626</v>
      </c>
      <c r="C493" s="35">
        <v>12014</v>
      </c>
      <c r="D493" s="35">
        <v>11084</v>
      </c>
      <c r="E493" s="35">
        <v>11897</v>
      </c>
      <c r="F493" s="35">
        <v>15235</v>
      </c>
      <c r="G493" s="35">
        <v>17328</v>
      </c>
      <c r="H493" s="525">
        <v>19688</v>
      </c>
      <c r="J493" s="382"/>
    </row>
    <row r="494" spans="2:10" ht="15.5">
      <c r="B494" s="109" t="s">
        <v>627</v>
      </c>
      <c r="C494" s="110">
        <v>0.66700000000000004</v>
      </c>
      <c r="D494" s="110">
        <v>0.68899999999999995</v>
      </c>
      <c r="E494" s="110">
        <v>0.67900000000000005</v>
      </c>
      <c r="F494" s="110">
        <v>0.64900000000000002</v>
      </c>
      <c r="G494" s="110">
        <v>0.63600000000000001</v>
      </c>
      <c r="H494" s="110">
        <v>0.63100000000000001</v>
      </c>
      <c r="J494" s="382"/>
    </row>
    <row r="495" spans="2:10" ht="15.5">
      <c r="B495" s="109" t="s">
        <v>628</v>
      </c>
      <c r="C495" s="110">
        <v>0.33300000000000002</v>
      </c>
      <c r="D495" s="110">
        <v>0.311</v>
      </c>
      <c r="E495" s="110">
        <v>0.32100000000000001</v>
      </c>
      <c r="F495" s="110">
        <v>0.35199999999999998</v>
      </c>
      <c r="G495" s="110">
        <v>0.36399999999999999</v>
      </c>
      <c r="H495" s="110">
        <v>0.36899999999999999</v>
      </c>
      <c r="J495" s="381"/>
    </row>
    <row r="496" spans="2:10" ht="15.5">
      <c r="B496" s="135" t="s">
        <v>746</v>
      </c>
      <c r="C496" s="136">
        <v>21583</v>
      </c>
      <c r="D496" s="136">
        <v>21183</v>
      </c>
      <c r="E496" s="136">
        <v>21909</v>
      </c>
      <c r="F496" s="136">
        <v>26016</v>
      </c>
      <c r="G496" s="136">
        <v>30761</v>
      </c>
      <c r="H496" s="136">
        <v>29334</v>
      </c>
      <c r="J496" s="382"/>
    </row>
    <row r="497" spans="2:10" ht="15.5">
      <c r="B497" s="76" t="s">
        <v>625</v>
      </c>
      <c r="C497" s="35">
        <v>15037</v>
      </c>
      <c r="D497" s="35">
        <v>15476</v>
      </c>
      <c r="E497" s="35">
        <v>15902</v>
      </c>
      <c r="F497" s="35">
        <v>18176</v>
      </c>
      <c r="G497" s="35">
        <v>20261</v>
      </c>
      <c r="H497" s="525">
        <v>19287</v>
      </c>
      <c r="J497" s="382"/>
    </row>
    <row r="498" spans="2:10" ht="15.5">
      <c r="B498" s="76" t="s">
        <v>626</v>
      </c>
      <c r="C498" s="35">
        <v>6546</v>
      </c>
      <c r="D498" s="35">
        <v>5707</v>
      </c>
      <c r="E498" s="35">
        <v>6007</v>
      </c>
      <c r="F498" s="35">
        <v>7840</v>
      </c>
      <c r="G498" s="35">
        <v>10500</v>
      </c>
      <c r="H498" s="525">
        <v>10047</v>
      </c>
      <c r="J498" s="381"/>
    </row>
    <row r="499" spans="2:10" ht="15.5">
      <c r="B499" s="135" t="s">
        <v>747</v>
      </c>
      <c r="C499" s="136">
        <v>14463</v>
      </c>
      <c r="D499" s="136">
        <v>14409</v>
      </c>
      <c r="E499" s="136">
        <v>15146</v>
      </c>
      <c r="F499" s="136">
        <v>17332</v>
      </c>
      <c r="G499" s="136">
        <v>16894</v>
      </c>
      <c r="H499" s="136">
        <v>24038</v>
      </c>
      <c r="J499" s="382"/>
    </row>
    <row r="500" spans="2:10" ht="15.5">
      <c r="B500" s="76" t="s">
        <v>625</v>
      </c>
      <c r="C500" s="35">
        <v>8995</v>
      </c>
      <c r="D500" s="35">
        <v>9032</v>
      </c>
      <c r="E500" s="35">
        <v>9256</v>
      </c>
      <c r="F500" s="35">
        <v>9937</v>
      </c>
      <c r="G500" s="35">
        <v>10066</v>
      </c>
      <c r="H500" s="525">
        <v>14397</v>
      </c>
      <c r="J500" s="382"/>
    </row>
    <row r="501" spans="2:10" ht="15.5">
      <c r="B501" s="76" t="s">
        <v>626</v>
      </c>
      <c r="C501" s="35">
        <v>5468</v>
      </c>
      <c r="D501" s="35">
        <v>5377</v>
      </c>
      <c r="E501" s="35">
        <v>5890</v>
      </c>
      <c r="F501" s="35">
        <v>7395</v>
      </c>
      <c r="G501" s="35">
        <v>6828</v>
      </c>
      <c r="H501" s="525">
        <v>9641</v>
      </c>
      <c r="J501" s="380"/>
    </row>
    <row r="502" spans="2:10" s="29" customFormat="1" ht="14.5">
      <c r="B502" s="89" t="s">
        <v>740</v>
      </c>
      <c r="C502"/>
      <c r="D502"/>
      <c r="E502"/>
      <c r="F502"/>
      <c r="G502"/>
      <c r="H502" s="448"/>
      <c r="I502" s="82"/>
      <c r="J502" s="383"/>
    </row>
    <row r="503" spans="2:10" ht="15" customHeight="1">
      <c r="J503" s="380"/>
    </row>
    <row r="504" spans="2:10" ht="15.5">
      <c r="B504" s="49" t="s">
        <v>748</v>
      </c>
      <c r="C504"/>
      <c r="D504"/>
      <c r="E504"/>
      <c r="F504"/>
      <c r="G504"/>
      <c r="J504" s="380"/>
    </row>
    <row r="505" spans="2:10" ht="15.5">
      <c r="B505" s="95" t="s">
        <v>640</v>
      </c>
      <c r="C505" s="71" t="s">
        <v>422</v>
      </c>
      <c r="D505" s="71" t="s">
        <v>423</v>
      </c>
      <c r="E505" s="71" t="s">
        <v>424</v>
      </c>
      <c r="F505" s="71" t="s">
        <v>335</v>
      </c>
      <c r="G505" s="71" t="s">
        <v>256</v>
      </c>
      <c r="H505" s="71" t="s">
        <v>257</v>
      </c>
      <c r="J505" s="380"/>
    </row>
    <row r="506" spans="2:10" ht="15.5">
      <c r="B506" s="135" t="s">
        <v>648</v>
      </c>
      <c r="C506" s="194">
        <v>0.39500000000000002</v>
      </c>
      <c r="D506" s="194">
        <v>0.39900000000000002</v>
      </c>
      <c r="E506" s="194">
        <v>0.43</v>
      </c>
      <c r="F506" s="194">
        <v>0.49</v>
      </c>
      <c r="G506" s="194">
        <v>0.497</v>
      </c>
      <c r="H506" s="194">
        <v>0.44600000000000001</v>
      </c>
    </row>
    <row r="507" spans="2:10" ht="15.5">
      <c r="B507" s="76" t="s">
        <v>625</v>
      </c>
      <c r="C507" s="169">
        <v>0.48199999999999998</v>
      </c>
      <c r="D507" s="169">
        <v>0.47899999999999998</v>
      </c>
      <c r="E507" s="169">
        <v>0.51200000000000001</v>
      </c>
      <c r="F507" s="169">
        <v>0.57699999999999996</v>
      </c>
      <c r="G507" s="169">
        <v>0.69199999999999995</v>
      </c>
      <c r="H507" s="169">
        <v>0.59</v>
      </c>
    </row>
    <row r="508" spans="2:10" ht="15.5">
      <c r="B508" s="76" t="s">
        <v>626</v>
      </c>
      <c r="C508" s="169">
        <v>0.29099999999999998</v>
      </c>
      <c r="D508" s="169">
        <v>0.29099999999999998</v>
      </c>
      <c r="E508" s="169">
        <v>0.32100000000000001</v>
      </c>
      <c r="F508" s="169">
        <v>0.38400000000000001</v>
      </c>
      <c r="G508" s="169">
        <v>0.44800000000000001</v>
      </c>
      <c r="H508" s="169">
        <v>0.40200000000000002</v>
      </c>
    </row>
    <row r="509" spans="2:10" ht="15.5">
      <c r="B509" s="135" t="s">
        <v>664</v>
      </c>
      <c r="C509" s="194">
        <v>0.55900000000000005</v>
      </c>
      <c r="D509" s="194">
        <v>0.55300000000000005</v>
      </c>
      <c r="E509" s="194">
        <v>0.61299999999999999</v>
      </c>
      <c r="F509" s="194">
        <v>0.7</v>
      </c>
      <c r="G509" s="194">
        <v>0.72</v>
      </c>
      <c r="H509" s="194">
        <v>0.69299999999999995</v>
      </c>
    </row>
    <row r="510" spans="2:10" ht="15.5">
      <c r="B510" s="76" t="s">
        <v>625</v>
      </c>
      <c r="C510" s="169">
        <v>0.58899999999999997</v>
      </c>
      <c r="D510" s="169">
        <v>0.59</v>
      </c>
      <c r="E510" s="169">
        <v>0.65300000000000002</v>
      </c>
      <c r="F510" s="169">
        <v>0.73699999999999999</v>
      </c>
      <c r="G510" s="169">
        <v>0.74</v>
      </c>
      <c r="H510" s="169">
        <v>0.71699999999999997</v>
      </c>
    </row>
    <row r="511" spans="2:10" ht="15.5">
      <c r="B511" s="76" t="s">
        <v>626</v>
      </c>
      <c r="C511" s="169">
        <v>0.501</v>
      </c>
      <c r="D511" s="169">
        <v>0.47199999999999998</v>
      </c>
      <c r="E511" s="169">
        <v>0.52900000000000003</v>
      </c>
      <c r="F511" s="169">
        <v>0.626</v>
      </c>
      <c r="G511" s="169">
        <v>0.68300000000000005</v>
      </c>
      <c r="H511" s="169">
        <v>0.65100000000000002</v>
      </c>
    </row>
    <row r="512" spans="2:10" ht="15.5">
      <c r="B512" s="135" t="s">
        <v>665</v>
      </c>
      <c r="C512" s="194">
        <v>0.27500000000000002</v>
      </c>
      <c r="D512" s="194">
        <v>0.28399999999999997</v>
      </c>
      <c r="E512" s="194">
        <v>0.3</v>
      </c>
      <c r="F512" s="194">
        <v>0.33800000000000002</v>
      </c>
      <c r="G512" s="194">
        <v>0.318</v>
      </c>
      <c r="H512" s="194">
        <v>0.311</v>
      </c>
    </row>
    <row r="513" spans="2:10" ht="15.5">
      <c r="B513" s="76" t="s">
        <v>625</v>
      </c>
      <c r="C513" s="169">
        <v>0.36899999999999999</v>
      </c>
      <c r="D513" s="169">
        <v>0.36299999999999999</v>
      </c>
      <c r="E513" s="169">
        <v>0.374</v>
      </c>
      <c r="F513" s="169">
        <v>0.41199999999999998</v>
      </c>
      <c r="G513" s="169">
        <v>0.38100000000000001</v>
      </c>
      <c r="H513" s="169">
        <v>0.36</v>
      </c>
    </row>
    <row r="514" spans="2:10" ht="15.5">
      <c r="B514" s="76" t="s">
        <v>626</v>
      </c>
      <c r="C514" s="169">
        <v>0.19400000000000001</v>
      </c>
      <c r="D514" s="169">
        <v>0.20699999999999999</v>
      </c>
      <c r="E514" s="169">
        <v>0.22900000000000001</v>
      </c>
      <c r="F514" s="169">
        <v>0.27200000000000002</v>
      </c>
      <c r="G514" s="169">
        <v>0.25600000000000001</v>
      </c>
      <c r="H514" s="169">
        <v>0.25800000000000001</v>
      </c>
    </row>
    <row r="515" spans="2:10" s="29" customFormat="1" ht="13">
      <c r="B515" s="21" t="s">
        <v>749</v>
      </c>
      <c r="H515" s="448"/>
    </row>
    <row r="517" spans="2:10" ht="15.5">
      <c r="B517" s="25" t="s">
        <v>73</v>
      </c>
      <c r="C517" s="27"/>
    </row>
    <row r="518" spans="2:10" ht="15.5">
      <c r="B518" s="27" t="s">
        <v>314</v>
      </c>
    </row>
    <row r="519" spans="2:10" s="177" customFormat="1" ht="15.5">
      <c r="B519" s="27" t="s">
        <v>750</v>
      </c>
      <c r="H519" s="451"/>
    </row>
    <row r="520" spans="2:10" ht="14">
      <c r="B520" s="472" t="s">
        <v>751</v>
      </c>
      <c r="C520" s="473" t="s">
        <v>752</v>
      </c>
      <c r="D520" s="473" t="s">
        <v>753</v>
      </c>
      <c r="E520" s="473" t="s">
        <v>754</v>
      </c>
      <c r="F520" s="473" t="s">
        <v>755</v>
      </c>
      <c r="G520" s="473" t="s">
        <v>756</v>
      </c>
      <c r="H520" s="473" t="s">
        <v>757</v>
      </c>
      <c r="I520" s="473" t="s">
        <v>758</v>
      </c>
      <c r="J520" s="474" t="s">
        <v>759</v>
      </c>
    </row>
    <row r="521" spans="2:10" ht="15.5">
      <c r="B521" s="475" t="s">
        <v>271</v>
      </c>
      <c r="C521" s="507">
        <v>4693</v>
      </c>
      <c r="D521" s="508">
        <v>398416</v>
      </c>
      <c r="E521" s="509">
        <v>137889</v>
      </c>
      <c r="F521" s="509">
        <v>0</v>
      </c>
      <c r="G521" s="509">
        <v>0</v>
      </c>
      <c r="H521" s="509">
        <v>0</v>
      </c>
      <c r="I521" s="509">
        <v>0</v>
      </c>
      <c r="J521" s="803">
        <v>540998</v>
      </c>
    </row>
    <row r="522" spans="2:10" ht="15.5">
      <c r="B522" s="475" t="s">
        <v>272</v>
      </c>
      <c r="C522" s="507">
        <v>0</v>
      </c>
      <c r="D522" s="509">
        <v>47474</v>
      </c>
      <c r="E522" s="508">
        <v>1808375</v>
      </c>
      <c r="F522" s="509">
        <v>723373</v>
      </c>
      <c r="G522" s="510">
        <v>224778</v>
      </c>
      <c r="H522" s="511">
        <v>32570</v>
      </c>
      <c r="I522" s="511">
        <v>1773</v>
      </c>
      <c r="J522" s="803">
        <v>2838343</v>
      </c>
    </row>
    <row r="523" spans="2:10" ht="15.5">
      <c r="B523" s="475" t="s">
        <v>273</v>
      </c>
      <c r="C523" s="507">
        <v>0</v>
      </c>
      <c r="D523" s="509">
        <v>0</v>
      </c>
      <c r="E523" s="509">
        <v>2001</v>
      </c>
      <c r="F523" s="508">
        <v>129300</v>
      </c>
      <c r="G523" s="510">
        <v>293864</v>
      </c>
      <c r="H523" s="511">
        <v>109183</v>
      </c>
      <c r="I523" s="511">
        <v>2079</v>
      </c>
      <c r="J523" s="803">
        <v>536427</v>
      </c>
    </row>
    <row r="524" spans="2:10" ht="15.5">
      <c r="B524" s="506" t="s">
        <v>760</v>
      </c>
      <c r="C524" s="507">
        <v>0</v>
      </c>
      <c r="D524" s="509">
        <v>0</v>
      </c>
      <c r="E524" s="509">
        <v>0</v>
      </c>
      <c r="F524" s="511">
        <v>1129</v>
      </c>
      <c r="G524" s="512">
        <v>42681</v>
      </c>
      <c r="H524" s="507">
        <v>138041</v>
      </c>
      <c r="I524" s="507">
        <v>11720</v>
      </c>
      <c r="J524" s="803">
        <v>193571</v>
      </c>
    </row>
    <row r="525" spans="2:10" ht="15.5">
      <c r="B525" s="475" t="s">
        <v>761</v>
      </c>
      <c r="C525" s="513">
        <v>0</v>
      </c>
      <c r="D525" s="514">
        <v>0</v>
      </c>
      <c r="E525" s="515">
        <v>0</v>
      </c>
      <c r="F525" s="511">
        <v>291</v>
      </c>
      <c r="G525" s="512">
        <v>20677</v>
      </c>
      <c r="H525" s="511">
        <v>63073</v>
      </c>
      <c r="I525" s="511">
        <v>5223</v>
      </c>
      <c r="J525" s="803">
        <v>89263</v>
      </c>
    </row>
    <row r="526" spans="2:10" ht="15.5">
      <c r="B526" s="475" t="s">
        <v>762</v>
      </c>
      <c r="C526" s="513">
        <v>0</v>
      </c>
      <c r="D526" s="514">
        <v>0</v>
      </c>
      <c r="E526" s="515">
        <v>0</v>
      </c>
      <c r="F526" s="511">
        <v>50</v>
      </c>
      <c r="G526" s="798">
        <v>2617</v>
      </c>
      <c r="H526" s="511">
        <v>8375</v>
      </c>
      <c r="I526" s="511">
        <v>3249</v>
      </c>
      <c r="J526" s="803">
        <v>14265</v>
      </c>
    </row>
    <row r="527" spans="2:10" ht="15.5">
      <c r="B527" s="475" t="s">
        <v>763</v>
      </c>
      <c r="C527" s="517">
        <v>0</v>
      </c>
      <c r="D527" s="516">
        <v>0</v>
      </c>
      <c r="E527" s="518">
        <v>0</v>
      </c>
      <c r="F527" s="511">
        <v>2</v>
      </c>
      <c r="G527" s="511">
        <v>1143</v>
      </c>
      <c r="H527" s="511">
        <v>5725</v>
      </c>
      <c r="I527" s="511">
        <v>7743</v>
      </c>
      <c r="J527" s="803">
        <v>14613</v>
      </c>
    </row>
    <row r="528" spans="2:10" ht="15.5">
      <c r="B528" s="475" t="s">
        <v>295</v>
      </c>
      <c r="C528" s="519">
        <v>0</v>
      </c>
      <c r="D528" s="518">
        <v>0</v>
      </c>
      <c r="E528" s="518">
        <v>0</v>
      </c>
      <c r="F528" s="511">
        <v>0</v>
      </c>
      <c r="G528" s="511">
        <v>4</v>
      </c>
      <c r="H528" s="511">
        <v>5628</v>
      </c>
      <c r="I528" s="511">
        <v>7955</v>
      </c>
      <c r="J528" s="803">
        <v>13587</v>
      </c>
    </row>
    <row r="529" spans="2:10" ht="15.5">
      <c r="B529" s="475" t="s">
        <v>764</v>
      </c>
      <c r="C529" s="520">
        <v>0</v>
      </c>
      <c r="D529" s="521">
        <v>0</v>
      </c>
      <c r="E529" s="521">
        <v>0</v>
      </c>
      <c r="F529" s="511">
        <v>0</v>
      </c>
      <c r="G529" s="511">
        <v>104</v>
      </c>
      <c r="H529" s="511">
        <v>33806</v>
      </c>
      <c r="I529" s="511">
        <v>72219</v>
      </c>
      <c r="J529" s="803">
        <v>106129</v>
      </c>
    </row>
    <row r="530" spans="2:10" ht="15.5">
      <c r="B530" s="475" t="s">
        <v>765</v>
      </c>
      <c r="C530" s="800">
        <v>0</v>
      </c>
      <c r="D530" s="801">
        <v>0</v>
      </c>
      <c r="E530" s="801">
        <v>0</v>
      </c>
      <c r="F530" s="802">
        <v>26</v>
      </c>
      <c r="G530" s="802">
        <v>455</v>
      </c>
      <c r="H530" s="802">
        <v>4011</v>
      </c>
      <c r="I530" s="802">
        <v>104704</v>
      </c>
      <c r="J530" s="803">
        <v>109196</v>
      </c>
    </row>
    <row r="531" spans="2:10" ht="14">
      <c r="B531" s="476" t="s">
        <v>759</v>
      </c>
      <c r="C531" s="799">
        <v>4693</v>
      </c>
      <c r="D531" s="799">
        <v>445890</v>
      </c>
      <c r="E531" s="799">
        <v>1948265</v>
      </c>
      <c r="F531" s="799">
        <v>854171</v>
      </c>
      <c r="G531" s="799">
        <v>586323</v>
      </c>
      <c r="H531" s="799">
        <v>400412</v>
      </c>
      <c r="I531" s="799">
        <v>216665</v>
      </c>
      <c r="J531" s="803">
        <v>4456419</v>
      </c>
    </row>
    <row r="532" spans="2:10" s="29" customFormat="1" ht="13">
      <c r="B532" s="133" t="s">
        <v>695</v>
      </c>
      <c r="H532" s="448"/>
    </row>
    <row r="534" spans="2:10" ht="15.5">
      <c r="B534" s="27" t="s">
        <v>75</v>
      </c>
    </row>
    <row r="535" spans="2:10" ht="15.5">
      <c r="B535" s="138" t="s">
        <v>640</v>
      </c>
      <c r="C535" s="63">
        <v>2017</v>
      </c>
      <c r="D535" s="63">
        <v>2018</v>
      </c>
      <c r="E535" s="63">
        <v>2019</v>
      </c>
      <c r="F535" s="63" t="s">
        <v>335</v>
      </c>
      <c r="G535" s="63" t="s">
        <v>256</v>
      </c>
      <c r="H535" s="63" t="s">
        <v>257</v>
      </c>
    </row>
    <row r="536" spans="2:10" ht="15.5">
      <c r="B536" s="197" t="s">
        <v>766</v>
      </c>
      <c r="C536" s="198">
        <v>818521</v>
      </c>
      <c r="D536" s="198">
        <v>660330</v>
      </c>
      <c r="E536" s="198">
        <v>650478</v>
      </c>
      <c r="F536" s="198">
        <v>866769</v>
      </c>
      <c r="G536" s="198">
        <v>1804465</v>
      </c>
      <c r="H536" s="198">
        <v>1798976</v>
      </c>
    </row>
    <row r="537" spans="2:10" ht="15.5">
      <c r="B537" s="105" t="s">
        <v>625</v>
      </c>
      <c r="C537" s="65">
        <v>430759</v>
      </c>
      <c r="D537" s="65">
        <v>364957</v>
      </c>
      <c r="E537" s="65">
        <v>360107</v>
      </c>
      <c r="F537" s="65">
        <v>449965</v>
      </c>
      <c r="G537" s="65">
        <v>940499</v>
      </c>
      <c r="H537" s="65">
        <v>969579</v>
      </c>
    </row>
    <row r="538" spans="2:10" ht="15.5">
      <c r="B538" s="105" t="s">
        <v>626</v>
      </c>
      <c r="C538" s="65">
        <v>387762</v>
      </c>
      <c r="D538" s="65">
        <v>295373</v>
      </c>
      <c r="E538" s="65">
        <v>290371</v>
      </c>
      <c r="F538" s="65">
        <v>416804</v>
      </c>
      <c r="G538" s="65">
        <v>863966</v>
      </c>
      <c r="H538" s="65">
        <v>829397</v>
      </c>
    </row>
    <row r="539" spans="2:10" ht="15.5">
      <c r="B539" s="197" t="s">
        <v>767</v>
      </c>
      <c r="C539" s="198">
        <v>7377</v>
      </c>
      <c r="D539" s="198">
        <v>6931</v>
      </c>
      <c r="E539" s="198">
        <v>6561</v>
      </c>
      <c r="F539" s="198">
        <v>1414</v>
      </c>
      <c r="G539" s="198">
        <v>92488</v>
      </c>
      <c r="H539" s="198">
        <v>137889</v>
      </c>
    </row>
    <row r="540" spans="2:10" ht="15.5">
      <c r="B540" s="105" t="s">
        <v>625</v>
      </c>
      <c r="C540" s="65">
        <v>3752</v>
      </c>
      <c r="D540" s="65">
        <v>3626</v>
      </c>
      <c r="E540" s="65">
        <v>3390</v>
      </c>
      <c r="F540" s="33">
        <v>577</v>
      </c>
      <c r="G540" s="65">
        <v>47089</v>
      </c>
      <c r="H540" s="65">
        <v>71171</v>
      </c>
    </row>
    <row r="541" spans="2:10" ht="15.5">
      <c r="B541" s="105" t="s">
        <v>626</v>
      </c>
      <c r="C541" s="65">
        <v>3625</v>
      </c>
      <c r="D541" s="65">
        <v>3305</v>
      </c>
      <c r="E541" s="65">
        <v>3171</v>
      </c>
      <c r="F541" s="33">
        <v>837</v>
      </c>
      <c r="G541" s="65">
        <v>45399</v>
      </c>
      <c r="H541" s="65">
        <v>66718</v>
      </c>
    </row>
    <row r="542" spans="2:10" ht="15.5">
      <c r="B542" s="197" t="s">
        <v>768</v>
      </c>
      <c r="C542" s="198">
        <v>696818</v>
      </c>
      <c r="D542" s="198">
        <v>521992</v>
      </c>
      <c r="E542" s="198">
        <v>504287</v>
      </c>
      <c r="F542" s="198">
        <v>672523</v>
      </c>
      <c r="G542" s="198">
        <v>1209552</v>
      </c>
      <c r="H542" s="198">
        <v>1187822</v>
      </c>
    </row>
    <row r="543" spans="2:10" ht="15.5">
      <c r="B543" s="105" t="s">
        <v>625</v>
      </c>
      <c r="C543" s="65">
        <v>367441</v>
      </c>
      <c r="D543" s="65">
        <v>291036</v>
      </c>
      <c r="E543" s="65">
        <v>280834</v>
      </c>
      <c r="F543" s="65">
        <v>354742</v>
      </c>
      <c r="G543" s="65">
        <v>647298</v>
      </c>
      <c r="H543" s="65">
        <v>646176</v>
      </c>
    </row>
    <row r="544" spans="2:10" ht="15.5">
      <c r="B544" s="105" t="s">
        <v>626</v>
      </c>
      <c r="C544" s="65">
        <v>329377</v>
      </c>
      <c r="D544" s="65">
        <v>230956</v>
      </c>
      <c r="E544" s="65">
        <v>223453</v>
      </c>
      <c r="F544" s="65">
        <v>317781</v>
      </c>
      <c r="G544" s="65">
        <v>562254</v>
      </c>
      <c r="H544" s="65">
        <v>541646</v>
      </c>
    </row>
    <row r="545" spans="2:9" ht="15.5">
      <c r="B545" s="197" t="s">
        <v>769</v>
      </c>
      <c r="C545" s="198">
        <v>89806</v>
      </c>
      <c r="D545" s="198">
        <v>94796</v>
      </c>
      <c r="E545" s="198">
        <v>88105</v>
      </c>
      <c r="F545" s="198">
        <v>132241</v>
      </c>
      <c r="G545" s="198">
        <v>334741</v>
      </c>
      <c r="H545" s="198">
        <v>326274</v>
      </c>
    </row>
    <row r="546" spans="2:9" ht="15.5">
      <c r="B546" s="105" t="s">
        <v>625</v>
      </c>
      <c r="C546" s="65">
        <v>47532</v>
      </c>
      <c r="D546" s="65">
        <v>50330</v>
      </c>
      <c r="E546" s="65">
        <v>47298</v>
      </c>
      <c r="F546" s="65">
        <v>62926</v>
      </c>
      <c r="G546" s="65">
        <v>162828</v>
      </c>
      <c r="H546" s="65">
        <v>157934</v>
      </c>
    </row>
    <row r="547" spans="2:9" ht="15.5">
      <c r="B547" s="105" t="s">
        <v>626</v>
      </c>
      <c r="C547" s="65">
        <v>42274</v>
      </c>
      <c r="D547" s="65">
        <v>44466</v>
      </c>
      <c r="E547" s="65">
        <v>40807</v>
      </c>
      <c r="F547" s="65">
        <v>69315</v>
      </c>
      <c r="G547" s="65">
        <v>171913</v>
      </c>
      <c r="H547" s="65">
        <v>168340</v>
      </c>
    </row>
    <row r="548" spans="2:9" ht="15.5">
      <c r="B548" s="197" t="s">
        <v>770</v>
      </c>
      <c r="C548" s="198">
        <v>15776</v>
      </c>
      <c r="D548" s="198">
        <v>20271</v>
      </c>
      <c r="E548" s="198">
        <v>36234</v>
      </c>
      <c r="F548" s="198">
        <v>40142</v>
      </c>
      <c r="G548" s="198">
        <v>121937</v>
      </c>
      <c r="H548" s="198">
        <v>117825</v>
      </c>
      <c r="I548" s="29"/>
    </row>
    <row r="549" spans="2:9" ht="15.5">
      <c r="B549" s="105" t="s">
        <v>625</v>
      </c>
      <c r="C549" s="65">
        <v>7268</v>
      </c>
      <c r="D549" s="65">
        <v>10790</v>
      </c>
      <c r="E549" s="65">
        <v>19073</v>
      </c>
      <c r="F549" s="65">
        <v>19167</v>
      </c>
      <c r="G549" s="65">
        <v>54176</v>
      </c>
      <c r="H549" s="65">
        <v>61796</v>
      </c>
      <c r="I549" s="29"/>
    </row>
    <row r="550" spans="2:9" ht="15.5">
      <c r="B550" s="105" t="s">
        <v>626</v>
      </c>
      <c r="C550" s="65">
        <v>8508</v>
      </c>
      <c r="D550" s="65">
        <v>9481</v>
      </c>
      <c r="E550" s="65">
        <v>17161</v>
      </c>
      <c r="F550" s="65">
        <v>20975</v>
      </c>
      <c r="G550" s="65">
        <v>67761</v>
      </c>
      <c r="H550" s="65">
        <v>38282</v>
      </c>
      <c r="I550" s="29"/>
    </row>
    <row r="551" spans="2:9" ht="15.5">
      <c r="B551" s="197" t="s">
        <v>771</v>
      </c>
      <c r="C551" s="198">
        <v>8744</v>
      </c>
      <c r="D551" s="198">
        <v>16340</v>
      </c>
      <c r="E551" s="198">
        <v>15291</v>
      </c>
      <c r="F551" s="198">
        <v>20449</v>
      </c>
      <c r="G551" s="198">
        <v>45747</v>
      </c>
      <c r="H551" s="198">
        <v>46083</v>
      </c>
      <c r="I551" s="29"/>
    </row>
    <row r="552" spans="2:9" ht="15.5">
      <c r="B552" s="105" t="s">
        <v>625</v>
      </c>
      <c r="C552" s="65">
        <v>4766</v>
      </c>
      <c r="D552" s="65">
        <v>9175</v>
      </c>
      <c r="E552" s="65">
        <v>9512</v>
      </c>
      <c r="F552" s="65">
        <v>12553</v>
      </c>
      <c r="G552" s="65">
        <v>29108</v>
      </c>
      <c r="H552" s="65">
        <v>32502</v>
      </c>
      <c r="I552" s="29"/>
    </row>
    <row r="553" spans="2:9" ht="15.5">
      <c r="B553" s="105" t="s">
        <v>626</v>
      </c>
      <c r="C553" s="65">
        <v>3978</v>
      </c>
      <c r="D553" s="65">
        <v>7165</v>
      </c>
      <c r="E553" s="65">
        <v>5779</v>
      </c>
      <c r="F553" s="65">
        <v>7896</v>
      </c>
      <c r="G553" s="65">
        <v>16639</v>
      </c>
      <c r="H553" s="65">
        <v>14411</v>
      </c>
      <c r="I553" s="29"/>
    </row>
    <row r="554" spans="2:9" s="29" customFormat="1" ht="13">
      <c r="B554" s="133" t="s">
        <v>695</v>
      </c>
      <c r="H554" s="448"/>
    </row>
    <row r="556" spans="2:9" ht="15.5">
      <c r="B556" s="27" t="s">
        <v>76</v>
      </c>
    </row>
    <row r="557" spans="2:9" ht="15.5">
      <c r="B557" s="138" t="s">
        <v>640</v>
      </c>
      <c r="C557" s="63">
        <v>2017</v>
      </c>
      <c r="D557" s="63">
        <v>2018</v>
      </c>
      <c r="E557" s="63">
        <v>2019</v>
      </c>
      <c r="F557" s="63" t="s">
        <v>335</v>
      </c>
      <c r="G557" s="63" t="s">
        <v>256</v>
      </c>
      <c r="H557" s="63" t="s">
        <v>257</v>
      </c>
    </row>
    <row r="558" spans="2:9" ht="15.5">
      <c r="B558" s="197" t="s">
        <v>772</v>
      </c>
      <c r="C558" s="199">
        <v>0.24399999999999999</v>
      </c>
      <c r="D558" s="199">
        <v>0.19500000000000001</v>
      </c>
      <c r="E558" s="199">
        <v>0.185</v>
      </c>
      <c r="F558" s="199">
        <v>0.22900000000000001</v>
      </c>
      <c r="G558" s="199">
        <v>0.46300000000000002</v>
      </c>
      <c r="H558" s="199">
        <v>0.435</v>
      </c>
    </row>
    <row r="559" spans="2:9" ht="15.5">
      <c r="B559" s="105" t="s">
        <v>625</v>
      </c>
      <c r="C559" s="200">
        <v>0.25900000000000001</v>
      </c>
      <c r="D559" s="200">
        <v>0.218</v>
      </c>
      <c r="E559" s="200">
        <v>0.20699999999999999</v>
      </c>
      <c r="F559" s="200">
        <v>0.24099999999999999</v>
      </c>
      <c r="G559" s="200">
        <v>0.48699999999999999</v>
      </c>
      <c r="H559" s="200">
        <v>0.46</v>
      </c>
    </row>
    <row r="560" spans="2:9" ht="15.5">
      <c r="B560" s="105" t="s">
        <v>626</v>
      </c>
      <c r="C560" s="200">
        <v>0.22800000000000001</v>
      </c>
      <c r="D560" s="200">
        <v>0.17299999999999999</v>
      </c>
      <c r="E560" s="200">
        <v>0.16400000000000001</v>
      </c>
      <c r="F560" s="200">
        <v>0.217</v>
      </c>
      <c r="G560" s="200">
        <v>0.439</v>
      </c>
      <c r="H560" s="200">
        <v>0.41099999999999998</v>
      </c>
    </row>
    <row r="561" spans="2:10" ht="15.5">
      <c r="B561" s="197" t="s">
        <v>773</v>
      </c>
      <c r="C561" s="199">
        <v>3.3000000000000002E-2</v>
      </c>
      <c r="D561" s="199">
        <v>3.1E-2</v>
      </c>
      <c r="E561" s="199">
        <v>2.3E-2</v>
      </c>
      <c r="F561" s="199">
        <v>5.0000000000000001E-3</v>
      </c>
      <c r="G561" s="199">
        <v>0.26</v>
      </c>
      <c r="H561" s="199">
        <v>0.255</v>
      </c>
    </row>
    <row r="562" spans="2:10" ht="15.5">
      <c r="B562" s="105" t="s">
        <v>625</v>
      </c>
      <c r="C562" s="200">
        <v>3.5000000000000003E-2</v>
      </c>
      <c r="D562" s="200">
        <v>3.2000000000000001E-2</v>
      </c>
      <c r="E562" s="200">
        <v>2.4E-2</v>
      </c>
      <c r="F562" s="200">
        <v>4.0000000000000001E-3</v>
      </c>
      <c r="G562" s="200">
        <v>0.26500000000000001</v>
      </c>
      <c r="H562" s="200">
        <v>0.26200000000000001</v>
      </c>
    </row>
    <row r="563" spans="2:10" ht="15.5">
      <c r="B563" s="105" t="s">
        <v>626</v>
      </c>
      <c r="C563" s="200">
        <v>3.2000000000000001E-2</v>
      </c>
      <c r="D563" s="200">
        <v>2.9000000000000001E-2</v>
      </c>
      <c r="E563" s="200">
        <v>2.1999999999999999E-2</v>
      </c>
      <c r="F563" s="200">
        <v>6.0000000000000001E-3</v>
      </c>
      <c r="G563" s="200">
        <v>0.255</v>
      </c>
      <c r="H563" s="200">
        <v>0.248</v>
      </c>
    </row>
    <row r="564" spans="2:10" ht="15.5">
      <c r="B564" s="197" t="s">
        <v>774</v>
      </c>
      <c r="C564" s="199">
        <v>0.27400000000000002</v>
      </c>
      <c r="D564" s="199">
        <v>0.20799999999999999</v>
      </c>
      <c r="E564" s="199">
        <v>0.20100000000000001</v>
      </c>
      <c r="F564" s="199">
        <v>0.246</v>
      </c>
      <c r="G564" s="199">
        <v>0.441</v>
      </c>
      <c r="H564" s="199">
        <v>0.41799999999999998</v>
      </c>
    </row>
    <row r="565" spans="2:10" ht="15.5">
      <c r="B565" s="105" t="s">
        <v>625</v>
      </c>
      <c r="C565" s="200">
        <v>0.28899999999999998</v>
      </c>
      <c r="D565" s="200">
        <v>0.23100000000000001</v>
      </c>
      <c r="E565" s="200">
        <v>0.221</v>
      </c>
      <c r="F565" s="200">
        <v>0.25900000000000001</v>
      </c>
      <c r="G565" s="200">
        <v>0.46800000000000003</v>
      </c>
      <c r="H565" s="200">
        <v>0.44700000000000001</v>
      </c>
    </row>
    <row r="566" spans="2:10" ht="15.5">
      <c r="B566" s="105" t="s">
        <v>626</v>
      </c>
      <c r="C566" s="200">
        <v>0.26</v>
      </c>
      <c r="D566" s="200">
        <v>0.186</v>
      </c>
      <c r="E566" s="200">
        <v>0.18</v>
      </c>
      <c r="F566" s="200">
        <v>0.23400000000000001</v>
      </c>
      <c r="G566" s="200">
        <v>0.41399999999999998</v>
      </c>
      <c r="H566" s="200">
        <v>0.38900000000000001</v>
      </c>
    </row>
    <row r="567" spans="2:10" ht="15.5">
      <c r="B567" s="197" t="s">
        <v>775</v>
      </c>
      <c r="C567" s="199">
        <v>0.23499999999999999</v>
      </c>
      <c r="D567" s="199">
        <v>0.22500000000000001</v>
      </c>
      <c r="E567" s="199">
        <v>0.183</v>
      </c>
      <c r="F567" s="199">
        <v>0.254</v>
      </c>
      <c r="G567" s="199">
        <v>0.61899999999999999</v>
      </c>
      <c r="H567" s="199">
        <v>0.60799999999999998</v>
      </c>
    </row>
    <row r="568" spans="2:10" ht="15.5">
      <c r="B568" s="105" t="s">
        <v>625</v>
      </c>
      <c r="C568" s="200">
        <v>0.26900000000000002</v>
      </c>
      <c r="D568" s="200">
        <v>0.25900000000000001</v>
      </c>
      <c r="E568" s="200">
        <v>0.215</v>
      </c>
      <c r="F568" s="200">
        <v>0.26300000000000001</v>
      </c>
      <c r="G568" s="200">
        <v>0.66200000000000003</v>
      </c>
      <c r="H568" s="200">
        <v>0.64900000000000002</v>
      </c>
    </row>
    <row r="569" spans="2:10" ht="15.5">
      <c r="B569" s="105" t="s">
        <v>626</v>
      </c>
      <c r="C569" s="200">
        <v>0.20499999999999999</v>
      </c>
      <c r="D569" s="200">
        <v>0.19500000000000001</v>
      </c>
      <c r="E569" s="200">
        <v>0.156</v>
      </c>
      <c r="F569" s="200">
        <v>0.246</v>
      </c>
      <c r="G569" s="200">
        <v>0.58299999999999996</v>
      </c>
      <c r="H569" s="200">
        <v>0.57399999999999995</v>
      </c>
    </row>
    <row r="570" spans="2:10" ht="15.5">
      <c r="B570" s="197" t="s">
        <v>776</v>
      </c>
      <c r="C570" s="199">
        <v>0.106</v>
      </c>
      <c r="D570" s="199">
        <v>0.129</v>
      </c>
      <c r="E570" s="199">
        <v>0.216</v>
      </c>
      <c r="F570" s="199">
        <v>0.23300000000000001</v>
      </c>
      <c r="G570" s="199">
        <v>0.64300000000000002</v>
      </c>
      <c r="H570" s="199">
        <v>0.60899999999999999</v>
      </c>
    </row>
    <row r="571" spans="2:10" ht="15.5">
      <c r="B571" s="105" t="s">
        <v>625</v>
      </c>
      <c r="C571" s="200">
        <v>0.11</v>
      </c>
      <c r="D571" s="200">
        <v>0.153</v>
      </c>
      <c r="E571" s="200">
        <v>0.254</v>
      </c>
      <c r="F571" s="200">
        <v>0.251</v>
      </c>
      <c r="G571" s="200">
        <v>0.68400000000000005</v>
      </c>
      <c r="H571" s="200">
        <v>0.57799999999999996</v>
      </c>
    </row>
    <row r="572" spans="2:10" ht="15.5">
      <c r="B572" s="105" t="s">
        <v>626</v>
      </c>
      <c r="C572" s="200">
        <v>0.10299999999999999</v>
      </c>
      <c r="D572" s="200">
        <v>0.11</v>
      </c>
      <c r="E572" s="200">
        <v>0.185</v>
      </c>
      <c r="F572" s="200">
        <v>0.219</v>
      </c>
      <c r="G572" s="200">
        <v>0.61299999999999999</v>
      </c>
      <c r="H572" s="200">
        <v>0.66600000000000004</v>
      </c>
    </row>
    <row r="573" spans="2:10" ht="15.5">
      <c r="B573" s="197" t="s">
        <v>777</v>
      </c>
      <c r="C573" s="199">
        <v>0.13200000000000001</v>
      </c>
      <c r="D573" s="199">
        <v>0.23400000000000001</v>
      </c>
      <c r="E573" s="199">
        <v>0.22700000000000001</v>
      </c>
      <c r="F573" s="199">
        <v>0.28100000000000003</v>
      </c>
      <c r="G573" s="199">
        <v>0.65200000000000002</v>
      </c>
      <c r="H573" s="199">
        <v>0.51600000000000001</v>
      </c>
    </row>
    <row r="574" spans="2:10" ht="15.5">
      <c r="B574" s="105" t="s">
        <v>625</v>
      </c>
      <c r="C574" s="200">
        <v>0.13</v>
      </c>
      <c r="D574" s="200">
        <v>0.23799999999999999</v>
      </c>
      <c r="E574" s="200">
        <v>0.25600000000000001</v>
      </c>
      <c r="F574" s="200">
        <v>0.312</v>
      </c>
      <c r="G574" s="200">
        <v>0.68700000000000006</v>
      </c>
      <c r="H574" s="200">
        <v>0.624</v>
      </c>
    </row>
    <row r="575" spans="2:10" ht="15.5">
      <c r="B575" s="105" t="s">
        <v>626</v>
      </c>
      <c r="C575" s="200">
        <v>0.13400000000000001</v>
      </c>
      <c r="D575" s="200">
        <v>0.22800000000000001</v>
      </c>
      <c r="E575" s="200">
        <v>0.191</v>
      </c>
      <c r="F575" s="200">
        <v>0.24299999999999999</v>
      </c>
      <c r="G575" s="200">
        <v>0.59899999999999998</v>
      </c>
      <c r="H575" s="200">
        <v>0.38700000000000001</v>
      </c>
    </row>
    <row r="576" spans="2:10" s="29" customFormat="1" ht="14">
      <c r="B576" s="133" t="s">
        <v>695</v>
      </c>
      <c r="H576" s="448"/>
      <c r="I576" s="82"/>
      <c r="J576" s="82"/>
    </row>
    <row r="578" spans="2:10" ht="15.5">
      <c r="B578" s="49" t="s">
        <v>778</v>
      </c>
      <c r="C578"/>
      <c r="D578"/>
      <c r="E578"/>
      <c r="F578"/>
      <c r="G578"/>
    </row>
    <row r="579" spans="2:10" ht="31">
      <c r="B579" s="477" t="s">
        <v>779</v>
      </c>
      <c r="C579" s="622" t="s">
        <v>831</v>
      </c>
      <c r="D579" s="622" t="s">
        <v>835</v>
      </c>
      <c r="E579" s="622" t="s">
        <v>842</v>
      </c>
      <c r="F579" s="622" t="s">
        <v>846</v>
      </c>
      <c r="G579" s="623" t="s">
        <v>1671</v>
      </c>
    </row>
    <row r="580" spans="2:10" ht="15.5">
      <c r="B580" s="478" t="s">
        <v>781</v>
      </c>
      <c r="C580" s="624">
        <v>1017903</v>
      </c>
      <c r="D580" s="624">
        <v>2010206</v>
      </c>
      <c r="E580" s="624">
        <v>920099</v>
      </c>
      <c r="F580" s="624">
        <v>927845</v>
      </c>
      <c r="G580" s="625">
        <v>1386290</v>
      </c>
    </row>
    <row r="581" spans="2:10" ht="15.5">
      <c r="B581" s="456" t="s">
        <v>782</v>
      </c>
      <c r="C581" s="568">
        <v>509907</v>
      </c>
      <c r="D581" s="568">
        <v>1006058</v>
      </c>
      <c r="E581" s="568">
        <v>460136</v>
      </c>
      <c r="F581" s="568">
        <v>462889</v>
      </c>
      <c r="G581" s="570">
        <v>683823</v>
      </c>
    </row>
    <row r="582" spans="2:10" ht="15.5">
      <c r="B582" s="456" t="s">
        <v>783</v>
      </c>
      <c r="C582" s="568">
        <v>507996</v>
      </c>
      <c r="D582" s="568">
        <v>1004148</v>
      </c>
      <c r="E582" s="568">
        <v>459963</v>
      </c>
      <c r="F582" s="568">
        <v>464956</v>
      </c>
      <c r="G582" s="570">
        <v>702467</v>
      </c>
    </row>
    <row r="583" spans="2:10" ht="15.5">
      <c r="B583" s="479" t="s">
        <v>784</v>
      </c>
      <c r="C583" s="626">
        <v>444745</v>
      </c>
      <c r="D583" s="626">
        <v>1948265</v>
      </c>
      <c r="E583" s="626">
        <v>855188</v>
      </c>
      <c r="F583" s="626">
        <v>607235</v>
      </c>
      <c r="G583" s="627">
        <v>463653</v>
      </c>
    </row>
    <row r="584" spans="2:10" ht="15.5">
      <c r="B584" s="456" t="s">
        <v>782</v>
      </c>
      <c r="C584" s="568">
        <v>220977</v>
      </c>
      <c r="D584" s="568">
        <v>982334</v>
      </c>
      <c r="E584" s="568">
        <v>419365</v>
      </c>
      <c r="F584" s="568">
        <v>293695</v>
      </c>
      <c r="G584" s="570">
        <v>238406</v>
      </c>
    </row>
    <row r="585" spans="2:10" ht="15.5">
      <c r="B585" s="456" t="s">
        <v>783</v>
      </c>
      <c r="C585" s="568">
        <v>223768</v>
      </c>
      <c r="D585" s="568">
        <v>965931</v>
      </c>
      <c r="E585" s="568">
        <v>435823</v>
      </c>
      <c r="F585" s="568">
        <v>313540</v>
      </c>
      <c r="G585" s="570">
        <v>225247</v>
      </c>
    </row>
    <row r="586" spans="2:10" ht="15.5">
      <c r="B586" s="479" t="s">
        <v>785</v>
      </c>
      <c r="C586" s="626">
        <v>573158</v>
      </c>
      <c r="D586" s="626">
        <v>61941</v>
      </c>
      <c r="E586" s="626">
        <v>64911</v>
      </c>
      <c r="F586" s="626">
        <v>320610</v>
      </c>
      <c r="G586" s="627">
        <v>922637</v>
      </c>
    </row>
    <row r="587" spans="2:10" ht="15.5">
      <c r="B587" s="456" t="s">
        <v>782</v>
      </c>
      <c r="C587" s="568">
        <v>288930</v>
      </c>
      <c r="D587" s="568">
        <v>23724</v>
      </c>
      <c r="E587" s="568">
        <v>40771</v>
      </c>
      <c r="F587" s="568">
        <v>169194</v>
      </c>
      <c r="G587" s="570">
        <v>445417</v>
      </c>
    </row>
    <row r="588" spans="2:10" ht="15.5">
      <c r="B588" s="480" t="s">
        <v>783</v>
      </c>
      <c r="C588" s="628">
        <v>284228</v>
      </c>
      <c r="D588" s="628">
        <v>38217</v>
      </c>
      <c r="E588" s="628">
        <v>24140</v>
      </c>
      <c r="F588" s="628">
        <v>151416</v>
      </c>
      <c r="G588" s="629">
        <v>477220</v>
      </c>
    </row>
    <row r="589" spans="2:10" s="29" customFormat="1" ht="13">
      <c r="B589" s="133" t="s">
        <v>786</v>
      </c>
      <c r="H589" s="448"/>
    </row>
    <row r="591" spans="2:10" ht="15.5">
      <c r="B591" s="49" t="s">
        <v>787</v>
      </c>
      <c r="C591"/>
      <c r="D591"/>
      <c r="E591"/>
      <c r="F591"/>
      <c r="G591"/>
      <c r="H591" s="19"/>
    </row>
    <row r="592" spans="2:10" ht="14">
      <c r="B592" s="472" t="s">
        <v>464</v>
      </c>
      <c r="C592" s="464" t="s">
        <v>465</v>
      </c>
      <c r="D592" s="464" t="s">
        <v>466</v>
      </c>
      <c r="E592" s="464" t="s">
        <v>467</v>
      </c>
      <c r="F592" s="464" t="s">
        <v>788</v>
      </c>
      <c r="G592" s="464" t="s">
        <v>789</v>
      </c>
      <c r="H592" s="464" t="s">
        <v>790</v>
      </c>
      <c r="I592" s="464" t="s">
        <v>789</v>
      </c>
      <c r="J592" s="465" t="s">
        <v>790</v>
      </c>
    </row>
    <row r="593" spans="2:10" ht="15" customHeight="1">
      <c r="B593" s="481" t="s">
        <v>791</v>
      </c>
      <c r="C593" s="843" t="s">
        <v>792</v>
      </c>
      <c r="D593" s="844"/>
      <c r="E593" s="844"/>
      <c r="F593" s="844"/>
      <c r="G593" s="844"/>
      <c r="H593" s="825"/>
      <c r="I593" s="824" t="s">
        <v>793</v>
      </c>
      <c r="J593" s="825"/>
    </row>
    <row r="594" spans="2:10" ht="14">
      <c r="B594" s="482" t="s">
        <v>794</v>
      </c>
      <c r="C594" s="636">
        <v>0.29899999999999999</v>
      </c>
      <c r="D594" s="637">
        <v>0.318</v>
      </c>
      <c r="E594" s="637">
        <v>0.37</v>
      </c>
      <c r="F594" s="637">
        <v>0.42299999999999999</v>
      </c>
      <c r="G594" s="637">
        <v>0.48599999999999999</v>
      </c>
      <c r="H594" s="638">
        <v>0.67700000000000005</v>
      </c>
      <c r="I594" s="636">
        <v>0.28000000000000003</v>
      </c>
      <c r="J594" s="638">
        <v>0.43692277161969262</v>
      </c>
    </row>
    <row r="595" spans="2:10" ht="14.5">
      <c r="B595" s="483" t="s">
        <v>795</v>
      </c>
      <c r="C595" s="639">
        <v>0.29399999999999998</v>
      </c>
      <c r="D595" s="639">
        <v>0.312</v>
      </c>
      <c r="E595" s="639">
        <v>0.36299999999999999</v>
      </c>
      <c r="F595" s="640">
        <v>0.41299999999999998</v>
      </c>
      <c r="G595" s="640">
        <v>0.48099999999999998</v>
      </c>
      <c r="H595" s="640">
        <v>0.67700000000000005</v>
      </c>
      <c r="I595" s="640">
        <v>0.27700000000000002</v>
      </c>
      <c r="J595" s="641">
        <v>0.43336726108878676</v>
      </c>
    </row>
    <row r="596" spans="2:10" ht="14.5">
      <c r="B596" s="483" t="s">
        <v>796</v>
      </c>
      <c r="C596" s="639">
        <v>0.30499999999999999</v>
      </c>
      <c r="D596" s="639">
        <v>0.32400000000000001</v>
      </c>
      <c r="E596" s="639">
        <v>0.377</v>
      </c>
      <c r="F596" s="640">
        <v>0.434</v>
      </c>
      <c r="G596" s="640">
        <v>0.49</v>
      </c>
      <c r="H596" s="640">
        <v>0.67700000000000005</v>
      </c>
      <c r="I596" s="640">
        <v>0.28399999999999997</v>
      </c>
      <c r="J596" s="641">
        <v>0.44049165741462531</v>
      </c>
    </row>
    <row r="597" spans="2:10" ht="17.25" customHeight="1">
      <c r="B597" s="481" t="s">
        <v>797</v>
      </c>
      <c r="C597" s="843" t="s">
        <v>798</v>
      </c>
      <c r="D597" s="844"/>
      <c r="E597" s="844"/>
      <c r="F597" s="844"/>
      <c r="G597" s="844"/>
      <c r="H597" s="825"/>
      <c r="I597" s="824" t="s">
        <v>799</v>
      </c>
      <c r="J597" s="825"/>
    </row>
    <row r="598" spans="2:10" ht="14">
      <c r="B598" s="482" t="s">
        <v>794</v>
      </c>
      <c r="C598" s="636">
        <v>0.47099999999999997</v>
      </c>
      <c r="D598" s="637">
        <v>0.52600000000000002</v>
      </c>
      <c r="E598" s="637">
        <v>0.57099999999999995</v>
      </c>
      <c r="F598" s="637">
        <v>0.72199999999999998</v>
      </c>
      <c r="G598" s="637">
        <v>0.71299999999999997</v>
      </c>
      <c r="H598" s="638">
        <v>0.9</v>
      </c>
      <c r="I598" s="636">
        <v>0.46800000000000003</v>
      </c>
      <c r="J598" s="638">
        <v>0.67228924195566464</v>
      </c>
    </row>
    <row r="599" spans="2:10" ht="14.5">
      <c r="B599" s="483" t="s">
        <v>795</v>
      </c>
      <c r="C599" s="639">
        <v>0.46800000000000003</v>
      </c>
      <c r="D599" s="639">
        <v>0.52</v>
      </c>
      <c r="E599" s="639">
        <v>0.56399999999999995</v>
      </c>
      <c r="F599" s="640">
        <v>0.71099999999999997</v>
      </c>
      <c r="G599" s="640">
        <v>0.71</v>
      </c>
      <c r="H599" s="640">
        <v>0.90700000000000003</v>
      </c>
      <c r="I599" s="640">
        <v>0.46200000000000002</v>
      </c>
      <c r="J599" s="641">
        <v>0.67093045179232169</v>
      </c>
    </row>
    <row r="600" spans="2:10" ht="14.5">
      <c r="B600" s="484" t="s">
        <v>796</v>
      </c>
      <c r="C600" s="642">
        <v>0.47399999999999998</v>
      </c>
      <c r="D600" s="642">
        <v>0.53100000000000003</v>
      </c>
      <c r="E600" s="642">
        <v>0.57899999999999996</v>
      </c>
      <c r="F600" s="643">
        <v>0.73299999999999998</v>
      </c>
      <c r="G600" s="643">
        <v>0.71599999999999997</v>
      </c>
      <c r="H600" s="643">
        <v>0.89300000000000002</v>
      </c>
      <c r="I600" s="643">
        <v>0.47499999999999998</v>
      </c>
      <c r="J600" s="644">
        <v>0.6736526592096862</v>
      </c>
    </row>
    <row r="601" spans="2:10" s="29" customFormat="1" ht="13">
      <c r="B601" s="133" t="s">
        <v>800</v>
      </c>
      <c r="H601" s="448"/>
    </row>
    <row r="602" spans="2:10" ht="15.5">
      <c r="B602" s="170" t="s">
        <v>314</v>
      </c>
    </row>
    <row r="603" spans="2:10" ht="15.5">
      <c r="B603" s="27" t="s">
        <v>79</v>
      </c>
    </row>
    <row r="604" spans="2:10" ht="15" customHeight="1">
      <c r="B604" s="472" t="s">
        <v>464</v>
      </c>
      <c r="C604" s="464" t="s">
        <v>465</v>
      </c>
      <c r="D604" s="464" t="s">
        <v>466</v>
      </c>
      <c r="E604" s="464" t="s">
        <v>467</v>
      </c>
      <c r="F604" s="464" t="s">
        <v>788</v>
      </c>
      <c r="G604" s="464" t="s">
        <v>789</v>
      </c>
      <c r="H604" s="464" t="s">
        <v>790</v>
      </c>
      <c r="I604" s="464" t="s">
        <v>789</v>
      </c>
      <c r="J604" s="465" t="s">
        <v>790</v>
      </c>
    </row>
    <row r="605" spans="2:10" ht="15" customHeight="1">
      <c r="B605" s="481" t="s">
        <v>801</v>
      </c>
      <c r="C605" s="843" t="s">
        <v>802</v>
      </c>
      <c r="D605" s="844"/>
      <c r="E605" s="844"/>
      <c r="F605" s="844"/>
      <c r="G605" s="844"/>
      <c r="H605" s="825"/>
      <c r="I605" s="824" t="s">
        <v>803</v>
      </c>
      <c r="J605" s="825"/>
    </row>
    <row r="606" spans="2:10" ht="15" customHeight="1">
      <c r="B606" s="482" t="s">
        <v>794</v>
      </c>
      <c r="C606" s="636">
        <v>0.98699999999999999</v>
      </c>
      <c r="D606" s="637">
        <v>0.98599999999999999</v>
      </c>
      <c r="E606" s="637">
        <v>0.99</v>
      </c>
      <c r="F606" s="637">
        <v>0.99299999999999999</v>
      </c>
      <c r="G606" s="637">
        <v>0.96899999999999997</v>
      </c>
      <c r="H606" s="638">
        <v>0.97699999999999998</v>
      </c>
      <c r="I606" s="645">
        <v>0.92200000000000004</v>
      </c>
      <c r="J606" s="638">
        <v>0.96918674006544603</v>
      </c>
    </row>
    <row r="607" spans="2:10" ht="15" customHeight="1">
      <c r="B607" s="483" t="s">
        <v>795</v>
      </c>
      <c r="C607" s="639">
        <v>0.98699999999999999</v>
      </c>
      <c r="D607" s="639">
        <v>0.98699999999999999</v>
      </c>
      <c r="E607" s="639">
        <v>0.99299999999999999</v>
      </c>
      <c r="F607" s="640">
        <v>0.99</v>
      </c>
      <c r="G607" s="640">
        <v>0.96799999999999997</v>
      </c>
      <c r="H607" s="640">
        <v>0.98099999999999998</v>
      </c>
      <c r="I607" s="640">
        <v>0.92300000000000004</v>
      </c>
      <c r="J607" s="641">
        <v>0.9764188545789606</v>
      </c>
    </row>
    <row r="608" spans="2:10" ht="15" customHeight="1">
      <c r="B608" s="483" t="s">
        <v>796</v>
      </c>
      <c r="C608" s="639">
        <v>0.98799999999999999</v>
      </c>
      <c r="D608" s="639">
        <v>0.98499999999999999</v>
      </c>
      <c r="E608" s="639">
        <v>0.98599999999999999</v>
      </c>
      <c r="F608" s="640">
        <v>0.996</v>
      </c>
      <c r="G608" s="640">
        <v>0.97</v>
      </c>
      <c r="H608" s="640">
        <v>0.97299999999999998</v>
      </c>
      <c r="I608" s="640">
        <v>0.92100000000000004</v>
      </c>
      <c r="J608" s="641">
        <v>0.96194086927425038</v>
      </c>
    </row>
    <row r="609" spans="2:10" ht="15" customHeight="1">
      <c r="B609" s="481" t="s">
        <v>804</v>
      </c>
      <c r="C609" s="843" t="s">
        <v>805</v>
      </c>
      <c r="D609" s="844"/>
      <c r="E609" s="844"/>
      <c r="F609" s="844"/>
      <c r="G609" s="844"/>
      <c r="H609" s="825"/>
      <c r="I609" s="824" t="s">
        <v>806</v>
      </c>
      <c r="J609" s="825"/>
    </row>
    <row r="610" spans="2:10" ht="15" customHeight="1">
      <c r="B610" s="482" t="s">
        <v>794</v>
      </c>
      <c r="C610" s="630">
        <v>0.72099999999999997</v>
      </c>
      <c r="D610" s="631">
        <v>0.72399999999999998</v>
      </c>
      <c r="E610" s="631">
        <v>0.69499999999999995</v>
      </c>
      <c r="F610" s="631">
        <v>0.76400000000000001</v>
      </c>
      <c r="G610" s="631">
        <v>0.69099999999999995</v>
      </c>
      <c r="H610" s="632">
        <v>0.71599999999999997</v>
      </c>
      <c r="I610" s="646">
        <v>0.77600000000000002</v>
      </c>
      <c r="J610" s="638">
        <v>0.79100000000000004</v>
      </c>
    </row>
    <row r="611" spans="2:10" ht="15" customHeight="1">
      <c r="B611" s="483" t="s">
        <v>795</v>
      </c>
      <c r="C611" s="633">
        <v>0.71</v>
      </c>
      <c r="D611" s="633">
        <v>0.71499999999999997</v>
      </c>
      <c r="E611" s="633">
        <v>0.68300000000000005</v>
      </c>
      <c r="F611" s="634">
        <v>0.745</v>
      </c>
      <c r="G611" s="634">
        <v>0.66600000000000004</v>
      </c>
      <c r="H611" s="634">
        <v>0.69899999999999995</v>
      </c>
      <c r="I611" s="634">
        <v>0.751</v>
      </c>
      <c r="J611" s="635">
        <v>0.77300000000000002</v>
      </c>
    </row>
    <row r="612" spans="2:10" ht="15" customHeight="1">
      <c r="B612" s="483" t="s">
        <v>796</v>
      </c>
      <c r="C612" s="633">
        <v>0.73199999999999998</v>
      </c>
      <c r="D612" s="633">
        <v>0.73199999999999998</v>
      </c>
      <c r="E612" s="633">
        <v>0.70599999999999996</v>
      </c>
      <c r="F612" s="634">
        <v>0.78300000000000003</v>
      </c>
      <c r="G612" s="634">
        <v>0.71499999999999997</v>
      </c>
      <c r="H612" s="634">
        <v>0.73399999999999999</v>
      </c>
      <c r="I612" s="634">
        <v>0.80200000000000005</v>
      </c>
      <c r="J612" s="635">
        <v>0.81</v>
      </c>
    </row>
    <row r="613" spans="2:10" ht="15" customHeight="1">
      <c r="B613" s="481" t="s">
        <v>807</v>
      </c>
      <c r="C613" s="843" t="s">
        <v>808</v>
      </c>
      <c r="D613" s="844"/>
      <c r="E613" s="844"/>
      <c r="F613" s="844"/>
      <c r="G613" s="844"/>
      <c r="H613" s="825"/>
      <c r="I613" s="824" t="s">
        <v>809</v>
      </c>
      <c r="J613" s="825"/>
    </row>
    <row r="614" spans="2:10" ht="15" customHeight="1">
      <c r="B614" s="482" t="s">
        <v>794</v>
      </c>
      <c r="C614" s="636">
        <v>0.86299999999999999</v>
      </c>
      <c r="D614" s="637">
        <v>0.86099999999999999</v>
      </c>
      <c r="E614" s="637">
        <v>0.84199999999999997</v>
      </c>
      <c r="F614" s="637">
        <v>0.879</v>
      </c>
      <c r="G614" s="637">
        <v>0.83099999999999996</v>
      </c>
      <c r="H614" s="638">
        <v>0.85099999999999998</v>
      </c>
      <c r="I614" s="636">
        <v>0.85</v>
      </c>
      <c r="J614" s="638">
        <v>0.88400000000000001</v>
      </c>
    </row>
    <row r="615" spans="2:10" ht="15" customHeight="1">
      <c r="B615" s="483" t="s">
        <v>795</v>
      </c>
      <c r="C615" s="639">
        <v>0.85799999999999998</v>
      </c>
      <c r="D615" s="639">
        <v>0.85799999999999998</v>
      </c>
      <c r="E615" s="639">
        <v>0.83799999999999997</v>
      </c>
      <c r="F615" s="640">
        <v>0.86899999999999999</v>
      </c>
      <c r="G615" s="640">
        <v>0.81799999999999995</v>
      </c>
      <c r="H615" s="640">
        <v>0.84499999999999997</v>
      </c>
      <c r="I615" s="640">
        <v>0.83799999999999997</v>
      </c>
      <c r="J615" s="641">
        <v>0.879</v>
      </c>
    </row>
    <row r="616" spans="2:10" ht="15" customHeight="1">
      <c r="B616" s="484" t="s">
        <v>796</v>
      </c>
      <c r="C616" s="642">
        <v>0.86799999999999999</v>
      </c>
      <c r="D616" s="642">
        <v>0.86399999999999999</v>
      </c>
      <c r="E616" s="642">
        <v>0.84599999999999997</v>
      </c>
      <c r="F616" s="643">
        <v>0.89</v>
      </c>
      <c r="G616" s="643">
        <v>0.84299999999999997</v>
      </c>
      <c r="H616" s="643">
        <v>0.85699999999999998</v>
      </c>
      <c r="I616" s="643">
        <v>0.86199999999999999</v>
      </c>
      <c r="J616" s="644">
        <v>0.88900000000000001</v>
      </c>
    </row>
    <row r="617" spans="2:10" ht="14">
      <c r="B617" s="133" t="s">
        <v>800</v>
      </c>
    </row>
    <row r="619" spans="2:10" ht="15.5">
      <c r="B619" s="491" t="s">
        <v>810</v>
      </c>
      <c r="C619"/>
      <c r="D619"/>
      <c r="E619"/>
      <c r="F619"/>
      <c r="G619"/>
      <c r="H619" s="19"/>
    </row>
    <row r="620" spans="2:10" ht="17.25" customHeight="1">
      <c r="B620" s="472" t="s">
        <v>464</v>
      </c>
      <c r="C620" s="464" t="s">
        <v>465</v>
      </c>
      <c r="D620" s="464" t="s">
        <v>466</v>
      </c>
      <c r="E620" s="464" t="s">
        <v>467</v>
      </c>
      <c r="F620" s="464" t="s">
        <v>788</v>
      </c>
      <c r="G620" s="464" t="s">
        <v>789</v>
      </c>
      <c r="H620" s="544" t="s">
        <v>790</v>
      </c>
      <c r="I620" s="545"/>
      <c r="J620" s="546"/>
    </row>
    <row r="621" spans="2:10" ht="15.65" customHeight="1">
      <c r="B621" s="481" t="s">
        <v>811</v>
      </c>
      <c r="C621" s="843" t="s">
        <v>812</v>
      </c>
      <c r="D621" s="844"/>
      <c r="E621" s="844"/>
      <c r="F621" s="844"/>
      <c r="G621" s="844"/>
      <c r="H621" s="844"/>
      <c r="I621" s="844"/>
      <c r="J621" s="825"/>
    </row>
    <row r="622" spans="2:10" ht="15.65" customHeight="1">
      <c r="B622" s="482" t="s">
        <v>794</v>
      </c>
      <c r="C622" s="636">
        <v>0.42699999999999999</v>
      </c>
      <c r="D622" s="637">
        <v>0.32300000000000001</v>
      </c>
      <c r="E622" s="637">
        <v>0.35799999999999998</v>
      </c>
      <c r="F622" s="637">
        <v>0.38100000000000001</v>
      </c>
      <c r="G622" s="647">
        <v>0.38600000000000001</v>
      </c>
      <c r="H622" s="873">
        <v>0.40799999999999997</v>
      </c>
      <c r="I622" s="874"/>
      <c r="J622" s="875"/>
    </row>
    <row r="623" spans="2:10" ht="15.65" customHeight="1">
      <c r="B623" s="483" t="s">
        <v>795</v>
      </c>
      <c r="C623" s="639">
        <v>0.42799999999999999</v>
      </c>
      <c r="D623" s="639">
        <v>0.32600000000000001</v>
      </c>
      <c r="E623" s="639">
        <v>0.35699999999999998</v>
      </c>
      <c r="F623" s="640">
        <v>0.376</v>
      </c>
      <c r="G623" s="648">
        <v>0.38600000000000001</v>
      </c>
      <c r="H623" s="865">
        <v>0.41199999999999998</v>
      </c>
      <c r="I623" s="866"/>
      <c r="J623" s="867"/>
    </row>
    <row r="624" spans="2:10" ht="15.65" customHeight="1">
      <c r="B624" s="483" t="s">
        <v>796</v>
      </c>
      <c r="C624" s="639">
        <v>0.42599999999999999</v>
      </c>
      <c r="D624" s="639">
        <v>0.32</v>
      </c>
      <c r="E624" s="639">
        <v>0.35899999999999999</v>
      </c>
      <c r="F624" s="640">
        <v>0.38500000000000001</v>
      </c>
      <c r="G624" s="648">
        <v>0.38500000000000001</v>
      </c>
      <c r="H624" s="865">
        <v>0.40300000000000002</v>
      </c>
      <c r="I624" s="866"/>
      <c r="J624" s="867"/>
    </row>
    <row r="625" spans="2:10" ht="15" customHeight="1">
      <c r="B625" s="481" t="s">
        <v>813</v>
      </c>
      <c r="C625" s="843" t="s">
        <v>814</v>
      </c>
      <c r="D625" s="844"/>
      <c r="E625" s="844"/>
      <c r="F625" s="844"/>
      <c r="G625" s="844"/>
      <c r="H625" s="825"/>
      <c r="I625" s="824" t="s">
        <v>815</v>
      </c>
      <c r="J625" s="825"/>
    </row>
    <row r="626" spans="2:10" ht="14">
      <c r="B626" s="481" t="s">
        <v>464</v>
      </c>
      <c r="C626" s="458" t="s">
        <v>465</v>
      </c>
      <c r="D626" s="485" t="s">
        <v>466</v>
      </c>
      <c r="E626" s="485" t="s">
        <v>467</v>
      </c>
      <c r="F626" s="485" t="s">
        <v>788</v>
      </c>
      <c r="G626" s="485" t="s">
        <v>789</v>
      </c>
      <c r="H626" s="486" t="s">
        <v>790</v>
      </c>
      <c r="I626" s="458" t="s">
        <v>789</v>
      </c>
      <c r="J626" s="486" t="s">
        <v>790</v>
      </c>
    </row>
    <row r="627" spans="2:10" ht="14">
      <c r="B627" s="482" t="s">
        <v>794</v>
      </c>
      <c r="C627" s="645">
        <v>0.16600000000000001</v>
      </c>
      <c r="D627" s="645">
        <v>9.8000000000000004E-2</v>
      </c>
      <c r="E627" s="645">
        <v>0.128</v>
      </c>
      <c r="F627" s="645">
        <v>0.17499999999999999</v>
      </c>
      <c r="G627" s="645">
        <v>0.22700000000000001</v>
      </c>
      <c r="H627" s="645">
        <v>0.26600000000000001</v>
      </c>
      <c r="I627" s="645">
        <v>0.28599999999999998</v>
      </c>
      <c r="J627" s="636">
        <v>0.33400000000000002</v>
      </c>
    </row>
    <row r="628" spans="2:10" ht="14.5">
      <c r="B628" s="483" t="s">
        <v>795</v>
      </c>
      <c r="C628" s="639">
        <v>0.18</v>
      </c>
      <c r="D628" s="639">
        <v>0.108</v>
      </c>
      <c r="E628" s="639">
        <v>0.13700000000000001</v>
      </c>
      <c r="F628" s="640">
        <v>0.182</v>
      </c>
      <c r="G628" s="640">
        <v>0.23899999999999999</v>
      </c>
      <c r="H628" s="640">
        <v>0.28499999999999998</v>
      </c>
      <c r="I628" s="640">
        <v>0.29399999999999998</v>
      </c>
      <c r="J628" s="641">
        <v>0.34899999999999998</v>
      </c>
    </row>
    <row r="629" spans="2:10" ht="15" customHeight="1">
      <c r="B629" s="483" t="s">
        <v>796</v>
      </c>
      <c r="C629" s="639">
        <v>0.152</v>
      </c>
      <c r="D629" s="639">
        <v>8.8999999999999996E-2</v>
      </c>
      <c r="E629" s="639">
        <v>0.11799999999999999</v>
      </c>
      <c r="F629" s="640">
        <v>0.16800000000000001</v>
      </c>
      <c r="G629" s="640">
        <v>0.215</v>
      </c>
      <c r="H629" s="640">
        <v>0.248</v>
      </c>
      <c r="I629" s="640">
        <v>0.27900000000000003</v>
      </c>
      <c r="J629" s="641">
        <v>0.32100000000000001</v>
      </c>
    </row>
    <row r="630" spans="2:10" ht="17.25" customHeight="1">
      <c r="B630" s="481" t="s">
        <v>816</v>
      </c>
      <c r="C630" s="843" t="s">
        <v>817</v>
      </c>
      <c r="D630" s="844"/>
      <c r="E630" s="844"/>
      <c r="F630" s="844"/>
      <c r="G630" s="844"/>
      <c r="H630" s="825"/>
      <c r="I630" s="824" t="s">
        <v>818</v>
      </c>
      <c r="J630" s="825"/>
    </row>
    <row r="631" spans="2:10" ht="15.5">
      <c r="B631" s="482" t="s">
        <v>794</v>
      </c>
      <c r="C631" s="649">
        <v>0.625</v>
      </c>
      <c r="D631" s="649">
        <v>0.61299999999999999</v>
      </c>
      <c r="E631" s="649">
        <v>0.59599999999999997</v>
      </c>
      <c r="F631" s="649">
        <v>0.65300000000000002</v>
      </c>
      <c r="G631" s="649">
        <v>0.64500000000000002</v>
      </c>
      <c r="H631" s="649">
        <v>0.69799999999999995</v>
      </c>
      <c r="I631" s="650">
        <v>0.63</v>
      </c>
      <c r="J631" s="650">
        <v>0.69</v>
      </c>
    </row>
    <row r="632" spans="2:10" ht="15.5">
      <c r="B632" s="483" t="s">
        <v>795</v>
      </c>
      <c r="C632" s="99">
        <v>0.625</v>
      </c>
      <c r="D632" s="99">
        <v>0.61299999999999999</v>
      </c>
      <c r="E632" s="110">
        <v>0.59399999999999997</v>
      </c>
      <c r="F632" s="651">
        <v>0.64700000000000002</v>
      </c>
      <c r="G632" s="651">
        <v>0.64100000000000001</v>
      </c>
      <c r="H632" s="651">
        <v>0.7</v>
      </c>
      <c r="I632" s="652">
        <v>0.625</v>
      </c>
      <c r="J632" s="158">
        <v>0.69</v>
      </c>
    </row>
    <row r="633" spans="2:10" ht="15.5">
      <c r="B633" s="484" t="s">
        <v>796</v>
      </c>
      <c r="C633" s="99">
        <v>0.626</v>
      </c>
      <c r="D633" s="99">
        <v>0.61299999999999999</v>
      </c>
      <c r="E633" s="110">
        <v>0.59699999999999998</v>
      </c>
      <c r="F633" s="651">
        <v>0.65900000000000003</v>
      </c>
      <c r="G633" s="651">
        <v>0.64900000000000002</v>
      </c>
      <c r="H633" s="651">
        <v>0.69599999999999995</v>
      </c>
      <c r="I633" s="652">
        <v>0.63600000000000001</v>
      </c>
      <c r="J633" s="158">
        <v>0.68899999999999995</v>
      </c>
    </row>
    <row r="635" spans="2:10" ht="15.5">
      <c r="B635" s="18" t="s">
        <v>81</v>
      </c>
      <c r="C635" s="27"/>
      <c r="I635" s="82" t="s">
        <v>704</v>
      </c>
    </row>
    <row r="636" spans="2:10" ht="15.5">
      <c r="B636" s="170" t="s">
        <v>314</v>
      </c>
    </row>
    <row r="637" spans="2:10" ht="15.5">
      <c r="B637" s="27" t="s">
        <v>82</v>
      </c>
    </row>
    <row r="638" spans="2:10" ht="31">
      <c r="B638" s="95" t="s">
        <v>376</v>
      </c>
      <c r="C638" s="71">
        <v>2017</v>
      </c>
      <c r="D638" s="71">
        <v>2018</v>
      </c>
      <c r="E638" s="71">
        <v>2019</v>
      </c>
      <c r="F638" s="71" t="s">
        <v>335</v>
      </c>
      <c r="G638" s="71" t="s">
        <v>687</v>
      </c>
      <c r="H638" s="331" t="s">
        <v>257</v>
      </c>
      <c r="I638" s="332" t="s">
        <v>256</v>
      </c>
      <c r="J638" s="332" t="s">
        <v>257</v>
      </c>
    </row>
    <row r="639" spans="2:10" ht="15.65" customHeight="1">
      <c r="B639" s="95" t="s">
        <v>819</v>
      </c>
      <c r="C639" s="827" t="s">
        <v>820</v>
      </c>
      <c r="D639" s="828"/>
      <c r="E639" s="828"/>
      <c r="F639" s="828"/>
      <c r="G639" s="828"/>
      <c r="H639" s="828"/>
      <c r="I639" s="869" t="s">
        <v>821</v>
      </c>
      <c r="J639" s="869"/>
    </row>
    <row r="640" spans="2:10" ht="15.5">
      <c r="B640" s="96" t="s">
        <v>822</v>
      </c>
      <c r="C640" s="653">
        <v>0.67100000000000004</v>
      </c>
      <c r="D640" s="654">
        <v>0.67200000000000004</v>
      </c>
      <c r="E640" s="654">
        <v>0.70399999999999996</v>
      </c>
      <c r="F640" s="654">
        <v>0.745</v>
      </c>
      <c r="G640" s="654">
        <v>0.73599999999999999</v>
      </c>
      <c r="H640" s="654">
        <v>0.80300000000000005</v>
      </c>
      <c r="I640" s="654">
        <v>0.72399999999999998</v>
      </c>
      <c r="J640" s="654">
        <v>0.79600000000000004</v>
      </c>
    </row>
    <row r="641" spans="2:10" ht="15.5">
      <c r="B641" s="76" t="s">
        <v>823</v>
      </c>
      <c r="C641" s="152">
        <v>0.66700000000000004</v>
      </c>
      <c r="D641" s="655">
        <v>0.66800000000000004</v>
      </c>
      <c r="E641" s="655">
        <v>0.7</v>
      </c>
      <c r="F641" s="655">
        <v>0.73399999999999999</v>
      </c>
      <c r="G641" s="655">
        <v>0.72899999999999998</v>
      </c>
      <c r="H641" s="655">
        <v>0.79900000000000004</v>
      </c>
      <c r="I641" s="655">
        <v>0.71599999999999997</v>
      </c>
      <c r="J641" s="655">
        <v>0.79200000000000004</v>
      </c>
    </row>
    <row r="642" spans="2:10" ht="15.5">
      <c r="B642" s="76" t="s">
        <v>824</v>
      </c>
      <c r="C642" s="152">
        <v>0.67600000000000005</v>
      </c>
      <c r="D642" s="655">
        <v>0.67500000000000004</v>
      </c>
      <c r="E642" s="655">
        <v>0.70799999999999996</v>
      </c>
      <c r="F642" s="655">
        <v>0.755</v>
      </c>
      <c r="G642" s="655">
        <v>0.74399999999999999</v>
      </c>
      <c r="H642" s="655">
        <v>0.80600000000000005</v>
      </c>
      <c r="I642" s="655">
        <v>0.73099999999999998</v>
      </c>
      <c r="J642" s="655">
        <v>0.79900000000000004</v>
      </c>
    </row>
    <row r="643" spans="2:10" ht="15.5">
      <c r="B643" s="96" t="s">
        <v>825</v>
      </c>
      <c r="C643" s="656">
        <v>0.50900000000000001</v>
      </c>
      <c r="D643" s="657">
        <v>0.497</v>
      </c>
      <c r="E643" s="657">
        <v>0.49199999999999999</v>
      </c>
      <c r="F643" s="657">
        <v>0.53100000000000003</v>
      </c>
      <c r="G643" s="657">
        <v>0.51300000000000001</v>
      </c>
      <c r="H643" s="657">
        <v>0.58499999999999996</v>
      </c>
      <c r="I643" s="657">
        <v>0.45600000000000002</v>
      </c>
      <c r="J643" s="657">
        <v>0.53300000000000003</v>
      </c>
    </row>
    <row r="644" spans="2:10" ht="15.5">
      <c r="B644" s="76" t="s">
        <v>826</v>
      </c>
      <c r="C644" s="152">
        <v>0.5</v>
      </c>
      <c r="D644" s="655">
        <v>0.502</v>
      </c>
      <c r="E644" s="655">
        <v>0.48199999999999998</v>
      </c>
      <c r="F644" s="655">
        <v>0.51800000000000002</v>
      </c>
      <c r="G644" s="655">
        <v>0.5</v>
      </c>
      <c r="H644" s="655">
        <v>0.56200000000000006</v>
      </c>
      <c r="I644" s="655">
        <v>0.44400000000000001</v>
      </c>
      <c r="J644" s="655">
        <v>0.52100000000000002</v>
      </c>
    </row>
    <row r="645" spans="2:10" ht="15.5">
      <c r="B645" s="76" t="s">
        <v>827</v>
      </c>
      <c r="C645" s="152">
        <v>0.51800000000000002</v>
      </c>
      <c r="D645" s="655">
        <v>0.49299999999999999</v>
      </c>
      <c r="E645" s="655">
        <v>0.501</v>
      </c>
      <c r="F645" s="655">
        <v>0.54500000000000004</v>
      </c>
      <c r="G645" s="655">
        <v>0.52700000000000002</v>
      </c>
      <c r="H645" s="655">
        <v>0.60799999999999998</v>
      </c>
      <c r="I645" s="655">
        <v>0.46899999999999997</v>
      </c>
      <c r="J645" s="655">
        <v>0.54400000000000004</v>
      </c>
    </row>
    <row r="646" spans="2:10" ht="14">
      <c r="B646" s="133" t="s">
        <v>828</v>
      </c>
    </row>
    <row r="648" spans="2:10" ht="15.5">
      <c r="B648" s="27" t="s">
        <v>83</v>
      </c>
    </row>
    <row r="649" spans="2:10" ht="15.65" customHeight="1">
      <c r="B649" s="95" t="s">
        <v>376</v>
      </c>
      <c r="C649" s="71">
        <v>2017</v>
      </c>
      <c r="D649" s="71">
        <v>2018</v>
      </c>
      <c r="E649" s="71">
        <v>2019</v>
      </c>
      <c r="F649" s="71" t="s">
        <v>335</v>
      </c>
      <c r="G649" s="71" t="s">
        <v>256</v>
      </c>
      <c r="H649" s="331" t="s">
        <v>257</v>
      </c>
      <c r="I649" s="447" t="s">
        <v>256</v>
      </c>
      <c r="J649" s="447" t="s">
        <v>257</v>
      </c>
    </row>
    <row r="650" spans="2:10" ht="15.65" customHeight="1">
      <c r="B650" s="95" t="s">
        <v>829</v>
      </c>
      <c r="C650" s="827" t="s">
        <v>830</v>
      </c>
      <c r="D650" s="828"/>
      <c r="E650" s="828"/>
      <c r="F650" s="828"/>
      <c r="G650" s="828"/>
      <c r="H650" s="828"/>
      <c r="I650" s="869" t="s">
        <v>831</v>
      </c>
      <c r="J650" s="869"/>
    </row>
    <row r="651" spans="2:10" ht="15.5">
      <c r="B651" s="96" t="s">
        <v>822</v>
      </c>
      <c r="C651" s="653">
        <v>0.24099999999999999</v>
      </c>
      <c r="D651" s="654">
        <v>0.24399999999999999</v>
      </c>
      <c r="E651" s="654">
        <v>0.29799999999999999</v>
      </c>
      <c r="F651" s="654">
        <v>0.3</v>
      </c>
      <c r="G651" s="654">
        <v>0.33300000000000002</v>
      </c>
      <c r="H651" s="654">
        <v>0.53</v>
      </c>
      <c r="I651" s="654">
        <v>0.33200000000000002</v>
      </c>
      <c r="J651" s="654">
        <v>0.53100000000000003</v>
      </c>
    </row>
    <row r="652" spans="2:10" ht="15.5">
      <c r="B652" s="76" t="s">
        <v>823</v>
      </c>
      <c r="C652" s="152">
        <v>0.23699999999999999</v>
      </c>
      <c r="D652" s="655">
        <v>0.24</v>
      </c>
      <c r="E652" s="655">
        <v>0.29099999999999998</v>
      </c>
      <c r="F652" s="655">
        <v>0.28999999999999998</v>
      </c>
      <c r="G652" s="655">
        <v>0.33200000000000002</v>
      </c>
      <c r="H652" s="655">
        <v>0.53200000000000003</v>
      </c>
      <c r="I652" s="655">
        <v>0.33100000000000002</v>
      </c>
      <c r="J652" s="655">
        <v>0.53300000000000003</v>
      </c>
    </row>
    <row r="653" spans="2:10" ht="15.5">
      <c r="B653" s="76" t="s">
        <v>824</v>
      </c>
      <c r="C653" s="152">
        <v>0.245</v>
      </c>
      <c r="D653" s="655">
        <v>0.248</v>
      </c>
      <c r="E653" s="655">
        <v>0.30599999999999999</v>
      </c>
      <c r="F653" s="655">
        <v>0.311</v>
      </c>
      <c r="G653" s="655">
        <v>0.33400000000000002</v>
      </c>
      <c r="H653" s="655">
        <v>0.52800000000000002</v>
      </c>
      <c r="I653" s="655">
        <v>0.33300000000000002</v>
      </c>
      <c r="J653" s="655">
        <v>0.53</v>
      </c>
    </row>
    <row r="654" spans="2:10" ht="15.5">
      <c r="B654" s="96" t="s">
        <v>825</v>
      </c>
      <c r="C654" s="656">
        <v>0.20599999999999999</v>
      </c>
      <c r="D654" s="657">
        <v>0.20799999999999999</v>
      </c>
      <c r="E654" s="657">
        <v>0.246</v>
      </c>
      <c r="F654" s="657">
        <v>0.25900000000000001</v>
      </c>
      <c r="G654" s="657">
        <v>0.27900000000000003</v>
      </c>
      <c r="H654" s="657">
        <v>0.442</v>
      </c>
      <c r="I654" s="657">
        <v>0.24199999999999999</v>
      </c>
      <c r="J654" s="657">
        <v>0.39</v>
      </c>
    </row>
    <row r="655" spans="2:10" ht="15.5">
      <c r="B655" s="76" t="s">
        <v>826</v>
      </c>
      <c r="C655" s="152">
        <v>0.20200000000000001</v>
      </c>
      <c r="D655" s="655">
        <v>0.20399999999999999</v>
      </c>
      <c r="E655" s="655">
        <v>0.24</v>
      </c>
      <c r="F655" s="655">
        <v>0.25</v>
      </c>
      <c r="G655" s="655">
        <v>0.27800000000000002</v>
      </c>
      <c r="H655" s="655">
        <v>0.44400000000000001</v>
      </c>
      <c r="I655" s="655">
        <v>0.23899999999999999</v>
      </c>
      <c r="J655" s="655">
        <v>0.38800000000000001</v>
      </c>
    </row>
    <row r="656" spans="2:10" ht="15.5">
      <c r="B656" s="76" t="s">
        <v>827</v>
      </c>
      <c r="C656" s="152">
        <v>0.20899999999999999</v>
      </c>
      <c r="D656" s="655">
        <v>0.21199999999999999</v>
      </c>
      <c r="E656" s="655">
        <v>0.251</v>
      </c>
      <c r="F656" s="655">
        <v>0.26800000000000002</v>
      </c>
      <c r="G656" s="655">
        <v>0.28000000000000003</v>
      </c>
      <c r="H656" s="655">
        <v>0.439</v>
      </c>
      <c r="I656" s="655">
        <v>0.24399999999999999</v>
      </c>
      <c r="J656" s="655">
        <v>0.39300000000000002</v>
      </c>
    </row>
    <row r="657" spans="2:10" ht="14">
      <c r="B657" s="133" t="s">
        <v>833</v>
      </c>
    </row>
    <row r="659" spans="2:10" ht="15.5">
      <c r="B659" s="27" t="s">
        <v>84</v>
      </c>
    </row>
    <row r="660" spans="2:10" ht="15.65" customHeight="1">
      <c r="B660" s="95" t="s">
        <v>376</v>
      </c>
      <c r="C660" s="95">
        <v>2017</v>
      </c>
      <c r="D660" s="95">
        <v>2018</v>
      </c>
      <c r="E660" s="95">
        <v>2019</v>
      </c>
      <c r="F660" s="95" t="s">
        <v>335</v>
      </c>
      <c r="G660" s="77" t="s">
        <v>256</v>
      </c>
      <c r="H660" s="331" t="s">
        <v>257</v>
      </c>
      <c r="I660" s="447" t="s">
        <v>256</v>
      </c>
      <c r="J660" s="447" t="s">
        <v>257</v>
      </c>
    </row>
    <row r="661" spans="2:10" ht="15.65" customHeight="1">
      <c r="B661" s="95" t="s">
        <v>829</v>
      </c>
      <c r="C661" s="827" t="s">
        <v>834</v>
      </c>
      <c r="D661" s="828"/>
      <c r="E661" s="828"/>
      <c r="F661" s="828"/>
      <c r="G661" s="828"/>
      <c r="H661" s="828"/>
      <c r="I661" s="869" t="s">
        <v>835</v>
      </c>
      <c r="J661" s="869"/>
    </row>
    <row r="662" spans="2:10" ht="15.5">
      <c r="B662" s="96" t="s">
        <v>822</v>
      </c>
      <c r="C662" s="653">
        <v>1.391</v>
      </c>
      <c r="D662" s="654">
        <v>1.375</v>
      </c>
      <c r="E662" s="654">
        <v>1.3879999999999999</v>
      </c>
      <c r="F662" s="654">
        <v>1.498</v>
      </c>
      <c r="G662" s="654">
        <v>1.448</v>
      </c>
      <c r="H662" s="654">
        <v>1.4350000000000001</v>
      </c>
      <c r="I662" s="654">
        <v>1.415</v>
      </c>
      <c r="J662" s="654">
        <v>1.4119999999999999</v>
      </c>
    </row>
    <row r="663" spans="2:10" ht="15.5">
      <c r="B663" s="76" t="s">
        <v>823</v>
      </c>
      <c r="C663" s="152">
        <v>1.401</v>
      </c>
      <c r="D663" s="655">
        <v>1.39</v>
      </c>
      <c r="E663" s="655">
        <v>1.4079999999999999</v>
      </c>
      <c r="F663" s="655">
        <v>1.5049999999999999</v>
      </c>
      <c r="G663" s="655">
        <v>1.46</v>
      </c>
      <c r="H663" s="655">
        <v>1.46</v>
      </c>
      <c r="I663" s="655">
        <v>1.427</v>
      </c>
      <c r="J663" s="655">
        <v>1.4370000000000001</v>
      </c>
    </row>
    <row r="664" spans="2:10" ht="15.5">
      <c r="B664" s="76" t="s">
        <v>824</v>
      </c>
      <c r="C664" s="152">
        <v>1.3819999999999999</v>
      </c>
      <c r="D664" s="655">
        <v>1.361</v>
      </c>
      <c r="E664" s="655">
        <v>1.367</v>
      </c>
      <c r="F664" s="655">
        <v>1.4910000000000001</v>
      </c>
      <c r="G664" s="655">
        <v>1.4350000000000001</v>
      </c>
      <c r="H664" s="655">
        <v>1.409</v>
      </c>
      <c r="I664" s="655">
        <v>1.4039999999999999</v>
      </c>
      <c r="J664" s="655">
        <v>1.387</v>
      </c>
    </row>
    <row r="665" spans="2:10" ht="15.5">
      <c r="B665" s="96" t="s">
        <v>825</v>
      </c>
      <c r="C665" s="656">
        <v>0.98</v>
      </c>
      <c r="D665" s="657">
        <v>0.98299999999999998</v>
      </c>
      <c r="E665" s="657">
        <v>0.98499999999999999</v>
      </c>
      <c r="F665" s="657">
        <v>0.98899999999999999</v>
      </c>
      <c r="G665" s="657">
        <v>0.95199999999999996</v>
      </c>
      <c r="H665" s="657">
        <v>0.95799999999999996</v>
      </c>
      <c r="I665" s="657">
        <v>0.873</v>
      </c>
      <c r="J665" s="657">
        <v>0.94299999999999995</v>
      </c>
    </row>
    <row r="666" spans="2:10" ht="15.5">
      <c r="B666" s="76" t="s">
        <v>826</v>
      </c>
      <c r="C666" s="152">
        <v>0.97799999999999998</v>
      </c>
      <c r="D666" s="655">
        <v>0.98</v>
      </c>
      <c r="E666" s="655">
        <v>0.98399999999999999</v>
      </c>
      <c r="F666" s="655">
        <v>0.98699999999999999</v>
      </c>
      <c r="G666" s="655">
        <v>0.95199999999999996</v>
      </c>
      <c r="H666" s="655">
        <v>0.96299999999999997</v>
      </c>
      <c r="I666" s="655">
        <v>0.873</v>
      </c>
      <c r="J666" s="655">
        <v>0.94799999999999995</v>
      </c>
    </row>
    <row r="667" spans="2:10" ht="15.5">
      <c r="B667" s="76" t="s">
        <v>827</v>
      </c>
      <c r="C667" s="152">
        <v>0.98099999999999998</v>
      </c>
      <c r="D667" s="655">
        <v>0.98499999999999999</v>
      </c>
      <c r="E667" s="655">
        <v>0.98599999999999999</v>
      </c>
      <c r="F667" s="655">
        <v>0.99099999999999999</v>
      </c>
      <c r="G667" s="655">
        <v>0.95299999999999996</v>
      </c>
      <c r="H667" s="655">
        <v>0.95399999999999996</v>
      </c>
      <c r="I667" s="655">
        <v>0.873</v>
      </c>
      <c r="J667" s="655">
        <v>0.93899999999999995</v>
      </c>
    </row>
    <row r="668" spans="2:10" ht="14">
      <c r="B668" s="133" t="s">
        <v>828</v>
      </c>
    </row>
    <row r="670" spans="2:10" ht="15.5">
      <c r="B670" s="27" t="s">
        <v>836</v>
      </c>
    </row>
    <row r="671" spans="2:10" ht="15.65" customHeight="1">
      <c r="B671" s="95" t="s">
        <v>837</v>
      </c>
      <c r="C671" s="71">
        <v>2017</v>
      </c>
      <c r="D671" s="71">
        <v>2018</v>
      </c>
      <c r="E671" s="71">
        <v>2019</v>
      </c>
      <c r="F671" s="71" t="s">
        <v>335</v>
      </c>
      <c r="G671" s="71" t="s">
        <v>256</v>
      </c>
      <c r="H671" s="331" t="s">
        <v>257</v>
      </c>
      <c r="I671" s="447" t="s">
        <v>256</v>
      </c>
      <c r="J671" s="447" t="s">
        <v>257</v>
      </c>
    </row>
    <row r="672" spans="2:10" ht="15.65" customHeight="1">
      <c r="B672" s="95" t="s">
        <v>829</v>
      </c>
      <c r="C672" s="827" t="s">
        <v>838</v>
      </c>
      <c r="D672" s="828"/>
      <c r="E672" s="828"/>
      <c r="F672" s="828"/>
      <c r="G672" s="828"/>
      <c r="H672" s="829"/>
      <c r="I672" s="869" t="s">
        <v>839</v>
      </c>
      <c r="J672" s="869"/>
    </row>
    <row r="673" spans="2:10" ht="15.5">
      <c r="B673" s="96" t="s">
        <v>822</v>
      </c>
      <c r="C673" s="653">
        <v>0.38200000000000001</v>
      </c>
      <c r="D673" s="654">
        <v>0.39600000000000002</v>
      </c>
      <c r="E673" s="654">
        <v>0.42499999999999999</v>
      </c>
      <c r="F673" s="654">
        <v>0.436</v>
      </c>
      <c r="G673" s="654">
        <v>0.42899999999999999</v>
      </c>
      <c r="H673" s="657">
        <v>0.44400000000000001</v>
      </c>
      <c r="I673" s="654">
        <v>0.42399999999999999</v>
      </c>
      <c r="J673" s="654">
        <v>0.443</v>
      </c>
    </row>
    <row r="674" spans="2:10" ht="15.5">
      <c r="B674" s="76" t="s">
        <v>823</v>
      </c>
      <c r="C674" s="152">
        <v>0.36299999999999999</v>
      </c>
      <c r="D674" s="655">
        <v>0.375</v>
      </c>
      <c r="E674" s="655">
        <v>0.40100000000000002</v>
      </c>
      <c r="F674" s="655">
        <v>0.40699999999999997</v>
      </c>
      <c r="G674" s="655">
        <v>0.39400000000000002</v>
      </c>
      <c r="H674" s="655">
        <v>0.40600000000000003</v>
      </c>
      <c r="I674" s="655">
        <v>0.39100000000000001</v>
      </c>
      <c r="J674" s="655">
        <v>0.40500000000000003</v>
      </c>
    </row>
    <row r="675" spans="2:10" ht="15.5">
      <c r="B675" s="76" t="s">
        <v>824</v>
      </c>
      <c r="C675" s="152">
        <v>0.40100000000000002</v>
      </c>
      <c r="D675" s="655">
        <v>0.41699999999999998</v>
      </c>
      <c r="E675" s="655">
        <v>0.45</v>
      </c>
      <c r="F675" s="655">
        <v>0.46400000000000002</v>
      </c>
      <c r="G675" s="655">
        <v>0.46200000000000002</v>
      </c>
      <c r="H675" s="655">
        <v>0.48199999999999998</v>
      </c>
      <c r="I675" s="655">
        <v>0.45800000000000002</v>
      </c>
      <c r="J675" s="655">
        <v>0.48099999999999998</v>
      </c>
    </row>
    <row r="676" spans="2:10" ht="15.5">
      <c r="B676" s="96" t="s">
        <v>825</v>
      </c>
      <c r="C676" s="656">
        <v>0.34100000000000003</v>
      </c>
      <c r="D676" s="657">
        <v>0.30099999999999999</v>
      </c>
      <c r="E676" s="657">
        <v>0.245</v>
      </c>
      <c r="F676" s="657">
        <v>0.34599999999999997</v>
      </c>
      <c r="G676" s="657">
        <v>0.308</v>
      </c>
      <c r="H676" s="657">
        <v>0.35499999999999998</v>
      </c>
      <c r="I676" s="657">
        <v>0.254</v>
      </c>
      <c r="J676" s="657">
        <v>0.26400000000000001</v>
      </c>
    </row>
    <row r="677" spans="2:10" ht="15.5">
      <c r="B677" s="76" t="s">
        <v>826</v>
      </c>
      <c r="C677" s="152">
        <v>0.31900000000000001</v>
      </c>
      <c r="D677" s="655">
        <v>0.32100000000000001</v>
      </c>
      <c r="E677" s="655">
        <v>0.221</v>
      </c>
      <c r="F677" s="655">
        <v>0.317</v>
      </c>
      <c r="G677" s="655">
        <v>0.26900000000000002</v>
      </c>
      <c r="H677" s="655">
        <v>0.27900000000000003</v>
      </c>
      <c r="I677" s="655">
        <v>0.218</v>
      </c>
      <c r="J677" s="655">
        <v>0.22600000000000001</v>
      </c>
    </row>
    <row r="678" spans="2:10" ht="15.5">
      <c r="B678" s="76" t="s">
        <v>827</v>
      </c>
      <c r="C678" s="152">
        <v>0.36299999999999999</v>
      </c>
      <c r="D678" s="655">
        <v>0.28199999999999997</v>
      </c>
      <c r="E678" s="655">
        <v>0.26700000000000002</v>
      </c>
      <c r="F678" s="655">
        <v>0.375</v>
      </c>
      <c r="G678" s="655">
        <v>0.34599999999999997</v>
      </c>
      <c r="H678" s="655">
        <v>0.43</v>
      </c>
      <c r="I678" s="655">
        <v>0.28999999999999998</v>
      </c>
      <c r="J678" s="655">
        <v>0.30199999999999999</v>
      </c>
    </row>
    <row r="679" spans="2:10" ht="14">
      <c r="B679" s="133" t="s">
        <v>828</v>
      </c>
    </row>
    <row r="681" spans="2:10" ht="15.5">
      <c r="B681" s="27" t="s">
        <v>86</v>
      </c>
    </row>
    <row r="682" spans="2:10" ht="15.65" customHeight="1">
      <c r="B682" s="95" t="s">
        <v>840</v>
      </c>
      <c r="C682" s="71">
        <v>2017</v>
      </c>
      <c r="D682" s="71">
        <v>2018</v>
      </c>
      <c r="E682" s="71">
        <v>2019</v>
      </c>
      <c r="F682" s="71" t="s">
        <v>335</v>
      </c>
      <c r="G682" s="77" t="s">
        <v>256</v>
      </c>
      <c r="H682" s="331" t="s">
        <v>257</v>
      </c>
      <c r="I682" s="447" t="s">
        <v>256</v>
      </c>
      <c r="J682" s="447" t="s">
        <v>257</v>
      </c>
    </row>
    <row r="683" spans="2:10" ht="15.65" customHeight="1">
      <c r="B683" s="95" t="s">
        <v>829</v>
      </c>
      <c r="C683" s="827" t="s">
        <v>841</v>
      </c>
      <c r="D683" s="828"/>
      <c r="E683" s="828"/>
      <c r="F683" s="828"/>
      <c r="G683" s="828"/>
      <c r="H683" s="828"/>
      <c r="I683" s="869" t="s">
        <v>842</v>
      </c>
      <c r="J683" s="869"/>
    </row>
    <row r="684" spans="2:10" ht="15.5">
      <c r="B684" s="96" t="s">
        <v>822</v>
      </c>
      <c r="C684" s="653">
        <v>0.44900000000000001</v>
      </c>
      <c r="D684" s="654">
        <v>0.47699999999999998</v>
      </c>
      <c r="E684" s="654">
        <v>0.53</v>
      </c>
      <c r="F684" s="654">
        <v>0.56899999999999995</v>
      </c>
      <c r="G684" s="654">
        <v>0.56899999999999995</v>
      </c>
      <c r="H684" s="654">
        <v>0.58599999999999997</v>
      </c>
      <c r="I684" s="654">
        <v>0.57099999999999995</v>
      </c>
      <c r="J684" s="654">
        <v>0.58299999999999996</v>
      </c>
    </row>
    <row r="685" spans="2:10" ht="15.5">
      <c r="B685" s="76" t="s">
        <v>823</v>
      </c>
      <c r="C685" s="152">
        <v>0.41899999999999998</v>
      </c>
      <c r="D685" s="655">
        <v>0.443</v>
      </c>
      <c r="E685" s="655">
        <v>0.48699999999999999</v>
      </c>
      <c r="F685" s="655">
        <v>0.52500000000000002</v>
      </c>
      <c r="G685" s="655">
        <v>0.51900000000000002</v>
      </c>
      <c r="H685" s="655">
        <v>0.53100000000000003</v>
      </c>
      <c r="I685" s="655">
        <v>0.52100000000000002</v>
      </c>
      <c r="J685" s="655">
        <v>0.52900000000000003</v>
      </c>
    </row>
    <row r="686" spans="2:10" ht="15.5">
      <c r="B686" s="76" t="s">
        <v>824</v>
      </c>
      <c r="C686" s="152">
        <v>0.47899999999999998</v>
      </c>
      <c r="D686" s="655">
        <v>0.51200000000000001</v>
      </c>
      <c r="E686" s="655">
        <v>0.57199999999999995</v>
      </c>
      <c r="F686" s="655">
        <v>0.61199999999999999</v>
      </c>
      <c r="G686" s="655">
        <v>0.61899999999999999</v>
      </c>
      <c r="H686" s="655">
        <v>0.64</v>
      </c>
      <c r="I686" s="655">
        <v>0.621</v>
      </c>
      <c r="J686" s="655">
        <v>0.63700000000000001</v>
      </c>
    </row>
    <row r="687" spans="2:10" ht="15.5">
      <c r="B687" s="96" t="s">
        <v>825</v>
      </c>
      <c r="C687" s="656">
        <v>0.24399999999999999</v>
      </c>
      <c r="D687" s="657">
        <v>0.27200000000000002</v>
      </c>
      <c r="E687" s="657">
        <v>0.315</v>
      </c>
      <c r="F687" s="657">
        <v>0.313</v>
      </c>
      <c r="G687" s="657">
        <v>0.22600000000000001</v>
      </c>
      <c r="H687" s="657">
        <v>0.24299999999999999</v>
      </c>
      <c r="I687" s="657">
        <v>0.128</v>
      </c>
      <c r="J687" s="657">
        <v>0.14099999999999999</v>
      </c>
    </row>
    <row r="688" spans="2:10" ht="15.5">
      <c r="B688" s="76" t="s">
        <v>826</v>
      </c>
      <c r="C688" s="152">
        <v>0.218</v>
      </c>
      <c r="D688" s="655">
        <v>0.24199999999999999</v>
      </c>
      <c r="E688" s="655">
        <v>0.27700000000000002</v>
      </c>
      <c r="F688" s="655">
        <v>0.28899999999999998</v>
      </c>
      <c r="G688" s="655">
        <v>0.186</v>
      </c>
      <c r="H688" s="655">
        <v>0.20200000000000001</v>
      </c>
      <c r="I688" s="655">
        <v>0.105</v>
      </c>
      <c r="J688" s="655">
        <v>0.115</v>
      </c>
    </row>
    <row r="689" spans="2:10" ht="15.5">
      <c r="B689" s="76" t="s">
        <v>827</v>
      </c>
      <c r="C689" s="152">
        <v>0.27</v>
      </c>
      <c r="D689" s="655">
        <v>0.30199999999999999</v>
      </c>
      <c r="E689" s="655">
        <v>0.35299999999999998</v>
      </c>
      <c r="F689" s="655">
        <v>0.33700000000000002</v>
      </c>
      <c r="G689" s="655">
        <v>0.26600000000000001</v>
      </c>
      <c r="H689" s="655">
        <v>0.28499999999999998</v>
      </c>
      <c r="I689" s="655">
        <v>0.152</v>
      </c>
      <c r="J689" s="655">
        <v>0.16600000000000001</v>
      </c>
    </row>
    <row r="690" spans="2:10" ht="14">
      <c r="B690" s="133" t="s">
        <v>828</v>
      </c>
    </row>
    <row r="692" spans="2:10" ht="15.5">
      <c r="B692" s="27" t="s">
        <v>843</v>
      </c>
    </row>
    <row r="693" spans="2:10" ht="15.65" customHeight="1">
      <c r="B693" s="95" t="s">
        <v>844</v>
      </c>
      <c r="C693" s="71">
        <v>2017</v>
      </c>
      <c r="D693" s="71">
        <v>2018</v>
      </c>
      <c r="E693" s="71">
        <v>2019</v>
      </c>
      <c r="F693" s="71" t="s">
        <v>335</v>
      </c>
      <c r="G693" s="77" t="s">
        <v>256</v>
      </c>
      <c r="H693" s="71" t="s">
        <v>257</v>
      </c>
      <c r="I693" s="334" t="s">
        <v>256</v>
      </c>
      <c r="J693" s="334" t="s">
        <v>257</v>
      </c>
    </row>
    <row r="694" spans="2:10" ht="15.65" customHeight="1">
      <c r="B694" s="95" t="s">
        <v>829</v>
      </c>
      <c r="C694" s="827" t="s">
        <v>845</v>
      </c>
      <c r="D694" s="828"/>
      <c r="E694" s="828"/>
      <c r="F694" s="828"/>
      <c r="G694" s="828"/>
      <c r="H694" s="828"/>
      <c r="I694" s="869" t="s">
        <v>846</v>
      </c>
      <c r="J694" s="869"/>
    </row>
    <row r="695" spans="2:10" ht="15.5">
      <c r="B695" s="96" t="s">
        <v>822</v>
      </c>
      <c r="C695" s="653">
        <v>0.30599999999999999</v>
      </c>
      <c r="D695" s="654">
        <v>0.30399999999999999</v>
      </c>
      <c r="E695" s="654">
        <v>0.309</v>
      </c>
      <c r="F695" s="654">
        <v>0.29699999999999999</v>
      </c>
      <c r="G695" s="654">
        <v>0.28299999999999997</v>
      </c>
      <c r="H695" s="654">
        <v>0.30499999999999999</v>
      </c>
      <c r="I695" s="654">
        <v>0.27600000000000002</v>
      </c>
      <c r="J695" s="654">
        <v>0.30499999999999999</v>
      </c>
    </row>
    <row r="696" spans="2:10" ht="15.5">
      <c r="B696" s="76" t="s">
        <v>823</v>
      </c>
      <c r="C696" s="152">
        <v>0.29899999999999999</v>
      </c>
      <c r="D696" s="655">
        <v>0.29799999999999999</v>
      </c>
      <c r="E696" s="655">
        <v>0.30299999999999999</v>
      </c>
      <c r="F696" s="655">
        <v>0.28299999999999997</v>
      </c>
      <c r="G696" s="655">
        <v>0.26600000000000001</v>
      </c>
      <c r="H696" s="655">
        <v>0.28299999999999997</v>
      </c>
      <c r="I696" s="655">
        <v>0.25900000000000001</v>
      </c>
      <c r="J696" s="655">
        <v>0.28199999999999997</v>
      </c>
    </row>
    <row r="697" spans="2:10" ht="15.5">
      <c r="B697" s="76" t="s">
        <v>824</v>
      </c>
      <c r="C697" s="152">
        <v>0.313</v>
      </c>
      <c r="D697" s="655">
        <v>0.31</v>
      </c>
      <c r="E697" s="655">
        <v>0.314</v>
      </c>
      <c r="F697" s="655">
        <v>0.31</v>
      </c>
      <c r="G697" s="655">
        <v>0.3</v>
      </c>
      <c r="H697" s="655">
        <v>0.32600000000000001</v>
      </c>
      <c r="I697" s="655">
        <v>0.29299999999999998</v>
      </c>
      <c r="J697" s="655">
        <v>0.32700000000000001</v>
      </c>
    </row>
    <row r="698" spans="2:10" ht="15.5">
      <c r="B698" s="96" t="s">
        <v>825</v>
      </c>
      <c r="C698" s="656">
        <v>0.23799999999999999</v>
      </c>
      <c r="D698" s="657">
        <v>0.219</v>
      </c>
      <c r="E698" s="657">
        <v>0.16500000000000001</v>
      </c>
      <c r="F698" s="657">
        <v>0.13700000000000001</v>
      </c>
      <c r="G698" s="657">
        <v>0.106</v>
      </c>
      <c r="H698" s="657">
        <v>0.122</v>
      </c>
      <c r="I698" s="657">
        <v>5.7000000000000002E-2</v>
      </c>
      <c r="J698" s="657">
        <v>6.8000000000000005E-2</v>
      </c>
    </row>
    <row r="699" spans="2:10" ht="15.5">
      <c r="B699" s="76" t="s">
        <v>826</v>
      </c>
      <c r="C699" s="152">
        <v>0.22900000000000001</v>
      </c>
      <c r="D699" s="655">
        <v>0.20699999999999999</v>
      </c>
      <c r="E699" s="655">
        <v>0.158</v>
      </c>
      <c r="F699" s="655">
        <v>0.126</v>
      </c>
      <c r="G699" s="655">
        <v>8.8999999999999996E-2</v>
      </c>
      <c r="H699" s="655">
        <v>0.10100000000000001</v>
      </c>
      <c r="I699" s="655">
        <v>4.5999999999999999E-2</v>
      </c>
      <c r="J699" s="655">
        <v>5.5E-2</v>
      </c>
    </row>
    <row r="700" spans="2:10" ht="15.5">
      <c r="B700" s="76" t="s">
        <v>827</v>
      </c>
      <c r="C700" s="152">
        <v>0.246</v>
      </c>
      <c r="D700" s="655">
        <v>0.23200000000000001</v>
      </c>
      <c r="E700" s="655">
        <v>0.17199999999999999</v>
      </c>
      <c r="F700" s="655">
        <v>0.14799999999999999</v>
      </c>
      <c r="G700" s="655">
        <v>0.123</v>
      </c>
      <c r="H700" s="655">
        <v>0.14199999999999999</v>
      </c>
      <c r="I700" s="655">
        <v>6.7000000000000004E-2</v>
      </c>
      <c r="J700" s="655">
        <v>8.2000000000000003E-2</v>
      </c>
    </row>
    <row r="701" spans="2:10" ht="14">
      <c r="B701" s="133" t="s">
        <v>828</v>
      </c>
    </row>
    <row r="703" spans="2:10" ht="15.5">
      <c r="B703" s="390" t="s">
        <v>848</v>
      </c>
      <c r="C703"/>
      <c r="D703"/>
      <c r="E703"/>
      <c r="F703"/>
      <c r="G703"/>
      <c r="H703" s="19"/>
    </row>
    <row r="704" spans="2:10" ht="31">
      <c r="B704" s="376" t="s">
        <v>849</v>
      </c>
      <c r="C704" s="376" t="s">
        <v>850</v>
      </c>
      <c r="D704" s="376" t="s">
        <v>851</v>
      </c>
      <c r="E704" s="376" t="s">
        <v>852</v>
      </c>
      <c r="F704" s="376" t="s">
        <v>853</v>
      </c>
      <c r="G704" s="376" t="s">
        <v>854</v>
      </c>
      <c r="H704" s="452" t="s">
        <v>270</v>
      </c>
      <c r="I704" s="376" t="s">
        <v>854</v>
      </c>
      <c r="J704" s="376" t="s">
        <v>270</v>
      </c>
    </row>
    <row r="705" spans="2:10" ht="15.65" customHeight="1">
      <c r="B705" s="376" t="s">
        <v>855</v>
      </c>
      <c r="C705" s="830" t="s">
        <v>856</v>
      </c>
      <c r="D705" s="831"/>
      <c r="E705" s="831"/>
      <c r="F705" s="831"/>
      <c r="G705" s="831"/>
      <c r="H705" s="832"/>
      <c r="I705" s="830" t="s">
        <v>780</v>
      </c>
      <c r="J705" s="832"/>
    </row>
    <row r="706" spans="2:10" ht="15.5">
      <c r="B706" s="385" t="s">
        <v>857</v>
      </c>
      <c r="C706" s="653">
        <v>8.1000000000000003E-2</v>
      </c>
      <c r="D706" s="654">
        <v>7.8E-2</v>
      </c>
      <c r="E706" s="654">
        <v>7.3999999999999996E-2</v>
      </c>
      <c r="F706" s="654">
        <v>7.0999999999999994E-2</v>
      </c>
      <c r="G706" s="654">
        <v>7.5999999999999998E-2</v>
      </c>
      <c r="H706" s="654">
        <v>9.0999999999999998E-2</v>
      </c>
      <c r="I706" s="654">
        <v>7.0999999999999994E-2</v>
      </c>
      <c r="J706" s="654">
        <v>8.5999999999999993E-2</v>
      </c>
    </row>
    <row r="707" spans="2:10" ht="15.5">
      <c r="B707" s="386" t="s">
        <v>782</v>
      </c>
      <c r="C707" s="152">
        <v>9.0999999999999998E-2</v>
      </c>
      <c r="D707" s="655">
        <v>9.0999999999999998E-2</v>
      </c>
      <c r="E707" s="655">
        <v>8.5999999999999993E-2</v>
      </c>
      <c r="F707" s="655">
        <v>0.08</v>
      </c>
      <c r="G707" s="655">
        <v>8.6999999999999994E-2</v>
      </c>
      <c r="H707" s="655">
        <v>0.104</v>
      </c>
      <c r="I707" s="655">
        <v>8.1000000000000003E-2</v>
      </c>
      <c r="J707" s="655">
        <v>9.8000000000000004E-2</v>
      </c>
    </row>
    <row r="708" spans="2:10" ht="15.5">
      <c r="B708" s="386" t="s">
        <v>783</v>
      </c>
      <c r="C708" s="152">
        <v>7.1999999999999995E-2</v>
      </c>
      <c r="D708" s="655">
        <v>6.5000000000000002E-2</v>
      </c>
      <c r="E708" s="655">
        <v>6.2E-2</v>
      </c>
      <c r="F708" s="655">
        <v>6.3E-2</v>
      </c>
      <c r="G708" s="655">
        <v>6.5000000000000002E-2</v>
      </c>
      <c r="H708" s="655">
        <v>7.9000000000000001E-2</v>
      </c>
      <c r="I708" s="655">
        <v>6.0999999999999999E-2</v>
      </c>
      <c r="J708" s="655">
        <v>7.4999999999999997E-2</v>
      </c>
    </row>
    <row r="709" spans="2:10" ht="15.75" customHeight="1">
      <c r="B709" s="835" t="s">
        <v>858</v>
      </c>
      <c r="C709" s="836"/>
      <c r="D709" s="836"/>
      <c r="E709" s="836"/>
      <c r="F709" s="836"/>
      <c r="G709" s="836"/>
      <c r="H709" s="837"/>
      <c r="I709" s="387" t="s">
        <v>314</v>
      </c>
      <c r="J709" s="387" t="s">
        <v>314</v>
      </c>
    </row>
    <row r="710" spans="2:10" ht="15.5">
      <c r="B710" s="385" t="s">
        <v>859</v>
      </c>
      <c r="C710" s="658">
        <v>772</v>
      </c>
      <c r="D710" s="658">
        <v>737</v>
      </c>
      <c r="E710" s="658">
        <v>697</v>
      </c>
      <c r="F710" s="659">
        <v>683</v>
      </c>
      <c r="G710" s="660">
        <v>724</v>
      </c>
      <c r="H710" s="660">
        <v>887</v>
      </c>
      <c r="I710" s="388" t="s">
        <v>314</v>
      </c>
      <c r="J710" s="389" t="s">
        <v>314</v>
      </c>
    </row>
    <row r="711" spans="2:10" ht="15.5">
      <c r="B711" s="358" t="s">
        <v>782</v>
      </c>
      <c r="C711" s="661">
        <v>872</v>
      </c>
      <c r="D711" s="661">
        <v>872</v>
      </c>
      <c r="E711" s="661">
        <v>817</v>
      </c>
      <c r="F711" s="662">
        <v>774</v>
      </c>
      <c r="G711" s="663">
        <v>836</v>
      </c>
      <c r="H711" s="805">
        <v>1019</v>
      </c>
      <c r="I711" s="389" t="s">
        <v>314</v>
      </c>
      <c r="J711" s="389" t="s">
        <v>314</v>
      </c>
    </row>
    <row r="712" spans="2:10" ht="15.5">
      <c r="B712" s="358" t="s">
        <v>783</v>
      </c>
      <c r="C712" s="661">
        <v>678</v>
      </c>
      <c r="D712" s="661">
        <v>611</v>
      </c>
      <c r="E712" s="661">
        <v>583</v>
      </c>
      <c r="F712" s="662">
        <v>597</v>
      </c>
      <c r="G712" s="663">
        <v>617</v>
      </c>
      <c r="H712" s="663">
        <v>762</v>
      </c>
      <c r="I712" s="388" t="s">
        <v>314</v>
      </c>
      <c r="J712" s="389" t="s">
        <v>314</v>
      </c>
    </row>
    <row r="713" spans="2:10" ht="14">
      <c r="B713" s="21" t="s">
        <v>860</v>
      </c>
    </row>
    <row r="715" spans="2:10" ht="15.5">
      <c r="B715" s="27" t="s">
        <v>89</v>
      </c>
    </row>
    <row r="716" spans="2:10" ht="15.5">
      <c r="B716" s="95" t="s">
        <v>861</v>
      </c>
      <c r="C716" s="71">
        <v>2017</v>
      </c>
      <c r="D716" s="71">
        <v>2018</v>
      </c>
      <c r="E716" s="71">
        <v>2019</v>
      </c>
      <c r="F716" s="71" t="s">
        <v>335</v>
      </c>
      <c r="G716" s="71" t="s">
        <v>256</v>
      </c>
      <c r="H716" s="71" t="s">
        <v>257</v>
      </c>
    </row>
    <row r="717" spans="2:10" ht="15.5">
      <c r="B717" s="76" t="s">
        <v>862</v>
      </c>
      <c r="C717" s="32">
        <v>1.03</v>
      </c>
      <c r="D717" s="32">
        <v>1.04</v>
      </c>
      <c r="E717" s="32">
        <v>1.05</v>
      </c>
      <c r="F717" s="32">
        <v>1.07</v>
      </c>
      <c r="G717" s="32">
        <v>1.02</v>
      </c>
      <c r="H717" s="32">
        <v>1.01</v>
      </c>
    </row>
    <row r="718" spans="2:10" ht="15.5">
      <c r="B718" s="76" t="s">
        <v>863</v>
      </c>
      <c r="C718" s="318">
        <v>1</v>
      </c>
      <c r="D718" s="32">
        <v>1.01</v>
      </c>
      <c r="E718" s="318">
        <v>1</v>
      </c>
      <c r="F718" s="318">
        <v>1</v>
      </c>
      <c r="G718" s="318">
        <v>1</v>
      </c>
      <c r="H718" s="318">
        <v>0.99</v>
      </c>
    </row>
    <row r="719" spans="2:10" ht="15.5">
      <c r="B719" s="76" t="s">
        <v>864</v>
      </c>
      <c r="C719" s="32">
        <v>1.24</v>
      </c>
      <c r="D719" s="32">
        <v>1.25</v>
      </c>
      <c r="E719" s="32">
        <v>1.27</v>
      </c>
      <c r="F719" s="32">
        <v>1.17</v>
      </c>
      <c r="G719" s="32">
        <v>1.45</v>
      </c>
      <c r="H719" s="32">
        <v>1.45</v>
      </c>
    </row>
    <row r="720" spans="2:10" ht="15.5">
      <c r="B720" s="76" t="s">
        <v>865</v>
      </c>
      <c r="C720" s="32">
        <v>1.07</v>
      </c>
      <c r="D720" s="32">
        <v>1.1200000000000001</v>
      </c>
      <c r="E720" s="32">
        <v>1.0900000000000001</v>
      </c>
      <c r="F720" s="32">
        <v>1.17</v>
      </c>
      <c r="G720" s="32">
        <v>1.38</v>
      </c>
      <c r="H720" s="32">
        <v>1.49</v>
      </c>
    </row>
    <row r="721" spans="2:10" ht="15.5">
      <c r="B721" s="76" t="s">
        <v>866</v>
      </c>
      <c r="C721" s="32">
        <v>0.83</v>
      </c>
      <c r="D721" s="32">
        <v>0.82</v>
      </c>
      <c r="E721" s="32">
        <v>0.79</v>
      </c>
      <c r="F721" s="32">
        <v>0.88</v>
      </c>
      <c r="G721" s="32">
        <v>0.72</v>
      </c>
      <c r="H721" s="32">
        <v>0.77</v>
      </c>
    </row>
    <row r="722" spans="2:10" ht="15.5">
      <c r="B722" s="76" t="s">
        <v>867</v>
      </c>
      <c r="C722" s="32">
        <v>0.79</v>
      </c>
      <c r="D722" s="32">
        <v>0.71</v>
      </c>
      <c r="E722" s="32">
        <v>0.72</v>
      </c>
      <c r="F722" s="32">
        <v>0.79</v>
      </c>
      <c r="G722" s="32">
        <v>0.76</v>
      </c>
      <c r="H722" s="32">
        <v>0.77</v>
      </c>
    </row>
    <row r="723" spans="2:10" ht="14">
      <c r="B723" s="21" t="s">
        <v>749</v>
      </c>
    </row>
    <row r="724" spans="2:10" ht="15" customHeight="1">
      <c r="G724" s="82" t="s">
        <v>704</v>
      </c>
    </row>
    <row r="725" spans="2:10" ht="15.5">
      <c r="B725" s="18" t="s">
        <v>90</v>
      </c>
      <c r="C725" s="27"/>
    </row>
    <row r="726" spans="2:10" ht="15.5">
      <c r="B726" s="170" t="s">
        <v>314</v>
      </c>
    </row>
    <row r="727" spans="2:10" ht="15.5">
      <c r="B727" s="27" t="s">
        <v>91</v>
      </c>
    </row>
    <row r="728" spans="2:10" ht="15.65" customHeight="1">
      <c r="B728" s="95" t="s">
        <v>376</v>
      </c>
      <c r="C728" s="71">
        <v>2017</v>
      </c>
      <c r="D728" s="71">
        <v>2018</v>
      </c>
      <c r="E728" s="71">
        <v>2019</v>
      </c>
      <c r="F728" s="71" t="s">
        <v>335</v>
      </c>
      <c r="G728" s="77" t="s">
        <v>256</v>
      </c>
      <c r="H728" s="331" t="s">
        <v>257</v>
      </c>
      <c r="I728" s="447" t="s">
        <v>256</v>
      </c>
      <c r="J728" s="447" t="s">
        <v>868</v>
      </c>
    </row>
    <row r="729" spans="2:10" ht="15.65" customHeight="1">
      <c r="B729" s="95" t="s">
        <v>869</v>
      </c>
      <c r="C729" s="827" t="s">
        <v>870</v>
      </c>
      <c r="D729" s="828"/>
      <c r="E729" s="828"/>
      <c r="F729" s="828"/>
      <c r="G729" s="828"/>
      <c r="H729" s="828"/>
      <c r="I729" s="869" t="s">
        <v>871</v>
      </c>
      <c r="J729" s="869"/>
    </row>
    <row r="730" spans="2:10" ht="15.5">
      <c r="B730" s="96" t="s">
        <v>872</v>
      </c>
      <c r="C730" s="188">
        <v>1.2070000000000001</v>
      </c>
      <c r="D730" s="188">
        <v>1.3819999999999999</v>
      </c>
      <c r="E730" s="188">
        <v>1.38</v>
      </c>
      <c r="F730" s="188">
        <v>2.2109999999999999</v>
      </c>
      <c r="G730" s="188">
        <v>1.3540000000000001</v>
      </c>
      <c r="H730" s="188">
        <v>1.5332198310292755</v>
      </c>
      <c r="I730" s="188">
        <v>1.298</v>
      </c>
      <c r="J730" s="188">
        <v>1.5358929504907701</v>
      </c>
    </row>
    <row r="731" spans="2:10" ht="15.5">
      <c r="B731" s="76" t="s">
        <v>873</v>
      </c>
      <c r="C731" s="169">
        <v>1.242</v>
      </c>
      <c r="D731" s="169">
        <v>1.4279999999999999</v>
      </c>
      <c r="E731" s="169">
        <v>1.4259999999999999</v>
      </c>
      <c r="F731" s="169">
        <v>2.2240000000000002</v>
      </c>
      <c r="G731" s="169">
        <v>1.397</v>
      </c>
      <c r="H731" s="169">
        <v>1.6004857846820557</v>
      </c>
      <c r="I731" s="169">
        <v>1.3420000000000001</v>
      </c>
      <c r="J731" s="169">
        <v>1.6030816263425962</v>
      </c>
    </row>
    <row r="732" spans="2:10" ht="15.5">
      <c r="B732" s="76" t="s">
        <v>874</v>
      </c>
      <c r="C732" s="169">
        <v>1.171</v>
      </c>
      <c r="D732" s="169">
        <v>1.337</v>
      </c>
      <c r="E732" s="169">
        <v>1.3340000000000001</v>
      </c>
      <c r="F732" s="169">
        <v>2.1970000000000001</v>
      </c>
      <c r="G732" s="169">
        <v>1.31</v>
      </c>
      <c r="H732" s="169">
        <v>1.4658188248889614</v>
      </c>
      <c r="I732" s="169">
        <v>1.254</v>
      </c>
      <c r="J732" s="169">
        <v>1.4685530178109907</v>
      </c>
    </row>
    <row r="733" spans="2:10" ht="15.5">
      <c r="B733" s="96" t="s">
        <v>875</v>
      </c>
      <c r="C733" s="188">
        <v>0.79500000000000004</v>
      </c>
      <c r="D733" s="188">
        <v>0.8</v>
      </c>
      <c r="E733" s="188">
        <v>0.80400000000000005</v>
      </c>
      <c r="F733" s="188">
        <v>0.81499999999999995</v>
      </c>
      <c r="G733" s="188">
        <v>0.44</v>
      </c>
      <c r="H733" s="188">
        <v>0.50837565375577953</v>
      </c>
      <c r="I733" s="188">
        <v>0.39600000000000002</v>
      </c>
      <c r="J733" s="188">
        <v>0.45658998717952465</v>
      </c>
    </row>
    <row r="734" spans="2:10" ht="15.5">
      <c r="B734" s="76" t="s">
        <v>876</v>
      </c>
      <c r="C734" s="169">
        <v>0.81699999999999995</v>
      </c>
      <c r="D734" s="169">
        <v>0.81899999999999995</v>
      </c>
      <c r="E734" s="169">
        <v>0.82599999999999996</v>
      </c>
      <c r="F734" s="169">
        <v>0.81299999999999994</v>
      </c>
      <c r="G734" s="169">
        <v>0.45100000000000001</v>
      </c>
      <c r="H734" s="169">
        <v>0.52211951235139586</v>
      </c>
      <c r="I734" s="169">
        <v>0.39400000000000002</v>
      </c>
      <c r="J734" s="169">
        <v>0.45681814203952087</v>
      </c>
    </row>
    <row r="735" spans="2:10" ht="15.5">
      <c r="B735" s="76" t="s">
        <v>877</v>
      </c>
      <c r="C735" s="169">
        <v>0.77300000000000002</v>
      </c>
      <c r="D735" s="169">
        <v>0.78100000000000003</v>
      </c>
      <c r="E735" s="169">
        <v>0.78200000000000003</v>
      </c>
      <c r="F735" s="169">
        <v>0.81699999999999995</v>
      </c>
      <c r="G735" s="169">
        <v>0.42799999999999999</v>
      </c>
      <c r="H735" s="169">
        <v>0.49460420107740882</v>
      </c>
      <c r="I735" s="169">
        <v>0.39900000000000002</v>
      </c>
      <c r="J735" s="169">
        <v>0.45636131869159974</v>
      </c>
    </row>
    <row r="736" spans="2:10" ht="15.65" customHeight="1">
      <c r="B736" s="95" t="s">
        <v>869</v>
      </c>
      <c r="C736" s="833" t="s">
        <v>878</v>
      </c>
      <c r="D736" s="834"/>
      <c r="E736" s="834"/>
      <c r="F736" s="834"/>
      <c r="G736" s="834"/>
      <c r="H736" s="834"/>
      <c r="I736" s="870" t="s">
        <v>879</v>
      </c>
      <c r="J736" s="870"/>
    </row>
    <row r="737" spans="2:10" ht="15.5">
      <c r="B737" s="96" t="s">
        <v>880</v>
      </c>
      <c r="C737" s="188">
        <v>0.79300000000000004</v>
      </c>
      <c r="D737" s="188">
        <v>0.82899999999999996</v>
      </c>
      <c r="E737" s="188">
        <v>0.95399999999999996</v>
      </c>
      <c r="F737" s="188">
        <v>0.95699999999999996</v>
      </c>
      <c r="G737" s="188">
        <v>0.68400000000000005</v>
      </c>
      <c r="H737" s="188">
        <v>0.57212312447678537</v>
      </c>
      <c r="I737" s="188">
        <v>0.72499999999999998</v>
      </c>
      <c r="J737" s="188">
        <v>0.55673397772312128</v>
      </c>
    </row>
    <row r="738" spans="2:10" ht="15.5">
      <c r="B738" s="76" t="s">
        <v>881</v>
      </c>
      <c r="C738" s="169">
        <v>0.72299999999999998</v>
      </c>
      <c r="D738" s="169">
        <v>0.76100000000000001</v>
      </c>
      <c r="E738" s="169">
        <v>0.89</v>
      </c>
      <c r="F738" s="169">
        <v>0.89300000000000002</v>
      </c>
      <c r="G738" s="169">
        <v>0.61499999999999999</v>
      </c>
      <c r="H738" s="169">
        <v>0.51305383056082887</v>
      </c>
      <c r="I738" s="169">
        <v>0.64600000000000002</v>
      </c>
      <c r="J738" s="169">
        <v>0.49917665842281567</v>
      </c>
    </row>
    <row r="739" spans="2:10" ht="15.5">
      <c r="B739" s="76" t="s">
        <v>882</v>
      </c>
      <c r="C739" s="169">
        <v>0.86199999999999999</v>
      </c>
      <c r="D739" s="169">
        <v>0.89600000000000002</v>
      </c>
      <c r="E739" s="169">
        <v>1.018</v>
      </c>
      <c r="F739" s="169">
        <v>1.012</v>
      </c>
      <c r="G739" s="169">
        <v>0.753</v>
      </c>
      <c r="H739" s="169">
        <v>0.63127235235364243</v>
      </c>
      <c r="I739" s="169">
        <v>0.80400000000000005</v>
      </c>
      <c r="J739" s="169">
        <v>0.61438695515835684</v>
      </c>
    </row>
    <row r="740" spans="2:10" ht="15.5">
      <c r="B740" s="96" t="s">
        <v>883</v>
      </c>
      <c r="C740" s="188">
        <v>0.19600000000000001</v>
      </c>
      <c r="D740" s="188">
        <v>0.222</v>
      </c>
      <c r="E740" s="188">
        <v>0.27500000000000002</v>
      </c>
      <c r="F740" s="188">
        <v>0.26900000000000002</v>
      </c>
      <c r="G740" s="188">
        <v>9.9000000000000005E-2</v>
      </c>
      <c r="H740" s="188">
        <v>8.5230858393972569E-2</v>
      </c>
      <c r="I740" s="188">
        <v>2.9000000000000001E-2</v>
      </c>
      <c r="J740" s="188">
        <v>2.6490999953002366E-2</v>
      </c>
    </row>
    <row r="741" spans="2:10" ht="15.5">
      <c r="B741" s="76" t="s">
        <v>884</v>
      </c>
      <c r="C741" s="169">
        <v>0.17100000000000001</v>
      </c>
      <c r="D741" s="169">
        <v>0.19400000000000001</v>
      </c>
      <c r="E741" s="169">
        <v>0.246</v>
      </c>
      <c r="F741" s="169">
        <v>0.26</v>
      </c>
      <c r="G741" s="169">
        <v>7.9000000000000001E-2</v>
      </c>
      <c r="H741" s="169">
        <v>6.5664918433669034E-2</v>
      </c>
      <c r="I741" s="169">
        <v>2.1999999999999999E-2</v>
      </c>
      <c r="J741" s="169">
        <v>1.9434617913157811E-2</v>
      </c>
    </row>
    <row r="742" spans="2:10" ht="15.5">
      <c r="B742" s="76" t="s">
        <v>885</v>
      </c>
      <c r="C742" s="169">
        <v>0.22</v>
      </c>
      <c r="D742" s="169">
        <v>0.251</v>
      </c>
      <c r="E742" s="169">
        <v>0.30399999999999999</v>
      </c>
      <c r="F742" s="169">
        <v>0.27800000000000002</v>
      </c>
      <c r="G742" s="169">
        <v>0.12</v>
      </c>
      <c r="H742" s="169">
        <v>0.1048232754454361</v>
      </c>
      <c r="I742" s="169">
        <v>3.5999999999999997E-2</v>
      </c>
      <c r="J742" s="169">
        <v>3.3559109438695514E-2</v>
      </c>
    </row>
    <row r="743" spans="2:10" ht="14">
      <c r="B743" s="178" t="s">
        <v>886</v>
      </c>
    </row>
    <row r="744" spans="2:10" ht="15" customHeight="1">
      <c r="J744" s="333"/>
    </row>
    <row r="745" spans="2:10" ht="15.5">
      <c r="B745" s="27" t="s">
        <v>92</v>
      </c>
    </row>
    <row r="746" spans="2:10" ht="15.65" customHeight="1">
      <c r="B746" s="95" t="s">
        <v>376</v>
      </c>
      <c r="C746" s="71">
        <v>2017</v>
      </c>
      <c r="D746" s="71">
        <v>2018</v>
      </c>
      <c r="E746" s="71">
        <v>2019</v>
      </c>
      <c r="F746" s="71" t="s">
        <v>335</v>
      </c>
      <c r="G746" s="77" t="s">
        <v>256</v>
      </c>
      <c r="H746" s="331" t="s">
        <v>257</v>
      </c>
      <c r="I746" s="447" t="s">
        <v>256</v>
      </c>
      <c r="J746" s="447" t="s">
        <v>257</v>
      </c>
    </row>
    <row r="747" spans="2:10" ht="15.65" customHeight="1">
      <c r="B747" s="95" t="s">
        <v>869</v>
      </c>
      <c r="C747" s="827" t="s">
        <v>887</v>
      </c>
      <c r="D747" s="828"/>
      <c r="E747" s="828"/>
      <c r="F747" s="828"/>
      <c r="G747" s="828"/>
      <c r="H747" s="828"/>
      <c r="I747" s="869" t="s">
        <v>878</v>
      </c>
      <c r="J747" s="869"/>
    </row>
    <row r="748" spans="2:10" ht="15.5">
      <c r="B748" s="96" t="s">
        <v>888</v>
      </c>
      <c r="C748" s="188">
        <v>0.499</v>
      </c>
      <c r="D748" s="188">
        <v>0.57599999999999996</v>
      </c>
      <c r="E748" s="188">
        <v>0.60699999999999998</v>
      </c>
      <c r="F748" s="188">
        <v>0.66400000000000003</v>
      </c>
      <c r="G748" s="188">
        <v>0.627</v>
      </c>
      <c r="H748" s="188">
        <v>0.61826052477216942</v>
      </c>
      <c r="I748" s="188">
        <v>0.62</v>
      </c>
      <c r="J748" s="188">
        <v>0.60747311481743838</v>
      </c>
    </row>
    <row r="749" spans="2:10" ht="15.5">
      <c r="B749" s="76" t="s">
        <v>889</v>
      </c>
      <c r="C749" s="169">
        <v>0.45900000000000002</v>
      </c>
      <c r="D749" s="169">
        <v>0.53</v>
      </c>
      <c r="E749" s="169">
        <v>0.55600000000000005</v>
      </c>
      <c r="F749" s="169">
        <v>0.61599999999999999</v>
      </c>
      <c r="G749" s="169">
        <v>0.56899999999999995</v>
      </c>
      <c r="H749" s="169">
        <v>0.55941398469441239</v>
      </c>
      <c r="I749" s="169">
        <v>0.56499999999999995</v>
      </c>
      <c r="J749" s="169">
        <v>0.54943852762315393</v>
      </c>
    </row>
    <row r="750" spans="2:10" ht="15.5">
      <c r="B750" s="76" t="s">
        <v>890</v>
      </c>
      <c r="C750" s="169">
        <v>0.53900000000000003</v>
      </c>
      <c r="D750" s="169">
        <v>0.62</v>
      </c>
      <c r="E750" s="169">
        <v>0.65800000000000003</v>
      </c>
      <c r="F750" s="169">
        <v>0.71199999999999997</v>
      </c>
      <c r="G750" s="169">
        <v>0.68500000000000005</v>
      </c>
      <c r="H750" s="169">
        <v>0.67714062817545906</v>
      </c>
      <c r="I750" s="169">
        <v>0.67400000000000004</v>
      </c>
      <c r="J750" s="169">
        <v>0.66558623578309761</v>
      </c>
    </row>
    <row r="751" spans="2:10" ht="15.5">
      <c r="B751" s="96" t="s">
        <v>891</v>
      </c>
      <c r="C751" s="188">
        <v>0.112</v>
      </c>
      <c r="D751" s="188">
        <v>0.14099999999999999</v>
      </c>
      <c r="E751" s="188">
        <v>0.17100000000000001</v>
      </c>
      <c r="F751" s="188">
        <v>0.17899999999999999</v>
      </c>
      <c r="G751" s="188">
        <v>0.09</v>
      </c>
      <c r="H751" s="188">
        <v>4.9973620482302784E-2</v>
      </c>
      <c r="I751" s="188">
        <v>2.8000000000000001E-2</v>
      </c>
      <c r="J751" s="188">
        <v>1.5158735269495783E-2</v>
      </c>
    </row>
    <row r="752" spans="2:10" ht="15.5">
      <c r="B752" s="76" t="s">
        <v>892</v>
      </c>
      <c r="C752" s="169">
        <v>9.8000000000000004E-2</v>
      </c>
      <c r="D752" s="169">
        <v>0.123</v>
      </c>
      <c r="E752" s="169">
        <v>0.15</v>
      </c>
      <c r="F752" s="169">
        <v>0.17499999999999999</v>
      </c>
      <c r="G752" s="169">
        <v>7.2999999999999995E-2</v>
      </c>
      <c r="H752" s="169">
        <v>3.9266432540098546E-2</v>
      </c>
      <c r="I752" s="169">
        <v>2.5000000000000001E-2</v>
      </c>
      <c r="J752" s="169">
        <v>1.1570513851797033E-2</v>
      </c>
    </row>
    <row r="753" spans="2:10" ht="15.5">
      <c r="B753" s="76" t="s">
        <v>893</v>
      </c>
      <c r="C753" s="169">
        <v>0.125</v>
      </c>
      <c r="D753" s="169">
        <v>0.158</v>
      </c>
      <c r="E753" s="169">
        <v>0.193</v>
      </c>
      <c r="F753" s="169">
        <v>0.184</v>
      </c>
      <c r="G753" s="169">
        <v>0.107</v>
      </c>
      <c r="H753" s="169">
        <v>6.0686915305794661E-2</v>
      </c>
      <c r="I753" s="169">
        <v>3.2000000000000001E-2</v>
      </c>
      <c r="J753" s="169">
        <v>1.8751812352998033E-2</v>
      </c>
    </row>
    <row r="754" spans="2:10" ht="14">
      <c r="B754" s="21" t="s">
        <v>894</v>
      </c>
    </row>
    <row r="756" spans="2:10" ht="15.5">
      <c r="B756" s="27" t="s">
        <v>93</v>
      </c>
    </row>
    <row r="757" spans="2:10" ht="15.65" customHeight="1">
      <c r="B757" s="95" t="s">
        <v>376</v>
      </c>
      <c r="C757" s="71">
        <v>2017</v>
      </c>
      <c r="D757" s="71">
        <v>2018</v>
      </c>
      <c r="E757" s="71">
        <v>2019</v>
      </c>
      <c r="F757" s="71" t="s">
        <v>335</v>
      </c>
      <c r="G757" s="77" t="s">
        <v>256</v>
      </c>
      <c r="H757" s="331" t="s">
        <v>257</v>
      </c>
      <c r="I757" s="447" t="s">
        <v>256</v>
      </c>
      <c r="J757" s="447" t="s">
        <v>257</v>
      </c>
    </row>
    <row r="758" spans="2:10" ht="15.65" customHeight="1">
      <c r="B758" s="95" t="s">
        <v>869</v>
      </c>
      <c r="C758" s="827" t="s">
        <v>895</v>
      </c>
      <c r="D758" s="828"/>
      <c r="E758" s="828"/>
      <c r="F758" s="828"/>
      <c r="G758" s="828"/>
      <c r="H758" s="828"/>
      <c r="I758" s="869" t="s">
        <v>896</v>
      </c>
      <c r="J758" s="869"/>
    </row>
    <row r="759" spans="2:10" ht="15.5">
      <c r="B759" s="96" t="s">
        <v>897</v>
      </c>
      <c r="C759" s="188">
        <v>0.36599999999999999</v>
      </c>
      <c r="D759" s="188">
        <v>0.35</v>
      </c>
      <c r="E759" s="188">
        <v>0.40100000000000002</v>
      </c>
      <c r="F759" s="188">
        <v>0.41699999999999998</v>
      </c>
      <c r="G759" s="188">
        <v>0.374</v>
      </c>
      <c r="H759" s="188">
        <v>0.32569666514390133</v>
      </c>
      <c r="I759" s="188">
        <v>0.36399999999999999</v>
      </c>
      <c r="J759" s="188">
        <v>0.32794603723246968</v>
      </c>
    </row>
    <row r="760" spans="2:10" ht="15.5">
      <c r="B760" s="76" t="s">
        <v>898</v>
      </c>
      <c r="C760" s="169">
        <v>0.34699999999999998</v>
      </c>
      <c r="D760" s="169">
        <v>0.32900000000000001</v>
      </c>
      <c r="E760" s="169">
        <v>0.36899999999999999</v>
      </c>
      <c r="F760" s="169">
        <v>0.38300000000000001</v>
      </c>
      <c r="G760" s="169">
        <v>0.32900000000000001</v>
      </c>
      <c r="H760" s="169">
        <v>0.29120293823562088</v>
      </c>
      <c r="I760" s="169">
        <v>0.32900000000000001</v>
      </c>
      <c r="J760" s="169">
        <v>0.29292583997843763</v>
      </c>
    </row>
    <row r="761" spans="2:10" ht="15.5">
      <c r="B761" s="76" t="s">
        <v>899</v>
      </c>
      <c r="C761" s="169">
        <v>0.38600000000000001</v>
      </c>
      <c r="D761" s="169">
        <v>0.372</v>
      </c>
      <c r="E761" s="169">
        <v>0.433</v>
      </c>
      <c r="F761" s="169">
        <v>0.45100000000000001</v>
      </c>
      <c r="G761" s="169">
        <v>0.42</v>
      </c>
      <c r="H761" s="169">
        <v>0.36009462797260222</v>
      </c>
      <c r="I761" s="169">
        <v>0.39800000000000002</v>
      </c>
      <c r="J761" s="169">
        <v>0.36293771060358249</v>
      </c>
    </row>
    <row r="762" spans="2:10" ht="15.5">
      <c r="B762" s="96" t="s">
        <v>900</v>
      </c>
      <c r="C762" s="188">
        <v>8.8999999999999996E-2</v>
      </c>
      <c r="D762" s="188">
        <v>9.0999999999999998E-2</v>
      </c>
      <c r="E762" s="188">
        <v>0.105</v>
      </c>
      <c r="F762" s="188">
        <v>0.12</v>
      </c>
      <c r="G762" s="188">
        <v>5.3999999999999999E-2</v>
      </c>
      <c r="H762" s="188">
        <v>4.9761795992951774E-2</v>
      </c>
      <c r="I762" s="188">
        <v>2.5000000000000001E-2</v>
      </c>
      <c r="J762" s="188">
        <v>1.5468625763081634E-2</v>
      </c>
    </row>
    <row r="763" spans="2:10" ht="15.5">
      <c r="B763" s="76" t="s">
        <v>901</v>
      </c>
      <c r="C763" s="169">
        <v>8.3000000000000004E-2</v>
      </c>
      <c r="D763" s="169">
        <v>8.5000000000000006E-2</v>
      </c>
      <c r="E763" s="169">
        <v>9.1999999999999998E-2</v>
      </c>
      <c r="F763" s="169">
        <v>0.108</v>
      </c>
      <c r="G763" s="169">
        <v>3.9E-2</v>
      </c>
      <c r="H763" s="169">
        <v>3.9165582909088531E-2</v>
      </c>
      <c r="I763" s="169">
        <v>0.01</v>
      </c>
      <c r="J763" s="169">
        <v>1.1819849195027512E-2</v>
      </c>
    </row>
    <row r="764" spans="2:10" ht="15.5">
      <c r="B764" s="76" t="s">
        <v>902</v>
      </c>
      <c r="C764" s="169">
        <v>9.5000000000000001E-2</v>
      </c>
      <c r="D764" s="169">
        <v>9.8000000000000004E-2</v>
      </c>
      <c r="E764" s="169">
        <v>0.11799999999999999</v>
      </c>
      <c r="F764" s="169">
        <v>0.13200000000000001</v>
      </c>
      <c r="G764" s="169">
        <v>6.9000000000000006E-2</v>
      </c>
      <c r="H764" s="169">
        <v>6.032859107290655E-2</v>
      </c>
      <c r="I764" s="169">
        <v>3.9E-2</v>
      </c>
      <c r="J764" s="169">
        <v>1.9114430409679389E-2</v>
      </c>
    </row>
    <row r="765" spans="2:10" ht="14">
      <c r="B765" s="21" t="s">
        <v>903</v>
      </c>
    </row>
    <row r="766" spans="2:10" ht="15.5">
      <c r="B766" s="170" t="s">
        <v>314</v>
      </c>
    </row>
    <row r="767" spans="2:10" ht="15.5">
      <c r="B767" s="27" t="s">
        <v>94</v>
      </c>
    </row>
    <row r="768" spans="2:10" ht="15.65" customHeight="1">
      <c r="B768" s="95" t="s">
        <v>376</v>
      </c>
      <c r="C768" s="71">
        <v>2017</v>
      </c>
      <c r="D768" s="71">
        <v>2018</v>
      </c>
      <c r="E768" s="71">
        <v>2019</v>
      </c>
      <c r="F768" s="71" t="s">
        <v>335</v>
      </c>
      <c r="G768" s="77" t="s">
        <v>256</v>
      </c>
      <c r="H768" s="331" t="s">
        <v>257</v>
      </c>
      <c r="I768" s="447" t="s">
        <v>256</v>
      </c>
      <c r="J768" s="447" t="s">
        <v>257</v>
      </c>
    </row>
    <row r="769" spans="2:10" ht="15.65" customHeight="1">
      <c r="B769" s="95" t="s">
        <v>869</v>
      </c>
      <c r="C769" s="827" t="s">
        <v>904</v>
      </c>
      <c r="D769" s="828"/>
      <c r="E769" s="828"/>
      <c r="F769" s="828"/>
      <c r="G769" s="828"/>
      <c r="H769" s="828"/>
      <c r="I769" s="869" t="s">
        <v>905</v>
      </c>
      <c r="J769" s="869"/>
    </row>
    <row r="770" spans="2:10" ht="15.5">
      <c r="B770" s="96" t="s">
        <v>906</v>
      </c>
      <c r="C770" s="188">
        <v>0.28899999999999998</v>
      </c>
      <c r="D770" s="188">
        <v>0.255</v>
      </c>
      <c r="E770" s="188">
        <v>0.189</v>
      </c>
      <c r="F770" s="188">
        <v>0.253</v>
      </c>
      <c r="G770" s="188">
        <v>0.24199999999999999</v>
      </c>
      <c r="H770" s="188">
        <v>0.2543886484199564</v>
      </c>
      <c r="I770" s="188">
        <v>0.23200000000000001</v>
      </c>
      <c r="J770" s="188">
        <v>0.2510599208592425</v>
      </c>
    </row>
    <row r="771" spans="2:10" ht="15.5">
      <c r="B771" s="76" t="s">
        <v>907</v>
      </c>
      <c r="C771" s="169">
        <v>0.28899999999999998</v>
      </c>
      <c r="D771" s="169">
        <v>0.25</v>
      </c>
      <c r="E771" s="169">
        <v>0.17399999999999999</v>
      </c>
      <c r="F771" s="169">
        <v>0.245</v>
      </c>
      <c r="G771" s="169">
        <v>0.23499999999999999</v>
      </c>
      <c r="H771" s="169">
        <v>0.243209650408206</v>
      </c>
      <c r="I771" s="169">
        <v>0.22500000000000001</v>
      </c>
      <c r="J771" s="169">
        <v>0.23956594861749222</v>
      </c>
    </row>
    <row r="772" spans="2:10" ht="15.5">
      <c r="B772" s="76" t="s">
        <v>908</v>
      </c>
      <c r="C772" s="169">
        <v>0.28799999999999998</v>
      </c>
      <c r="D772" s="169">
        <v>0.26</v>
      </c>
      <c r="E772" s="169">
        <v>0.20399999999999999</v>
      </c>
      <c r="F772" s="169">
        <v>0.26100000000000001</v>
      </c>
      <c r="G772" s="169">
        <v>0.249</v>
      </c>
      <c r="H772" s="169">
        <v>0.26545600559563748</v>
      </c>
      <c r="I772" s="169">
        <v>0.23899999999999999</v>
      </c>
      <c r="J772" s="169">
        <v>0.26248278953603793</v>
      </c>
    </row>
    <row r="773" spans="2:10" ht="15.5">
      <c r="B773" s="96" t="s">
        <v>909</v>
      </c>
      <c r="C773" s="188">
        <v>0.128</v>
      </c>
      <c r="D773" s="188">
        <v>9.6000000000000002E-2</v>
      </c>
      <c r="E773" s="188">
        <v>5.3999999999999999E-2</v>
      </c>
      <c r="F773" s="188">
        <v>9.6000000000000002E-2</v>
      </c>
      <c r="G773" s="188">
        <v>2.7E-2</v>
      </c>
      <c r="H773" s="188">
        <v>3.1122465584014058E-2</v>
      </c>
      <c r="I773" s="188">
        <v>7.0000000000000001E-3</v>
      </c>
      <c r="J773" s="188">
        <v>9.038234236086129E-3</v>
      </c>
    </row>
    <row r="774" spans="2:10" ht="15.5">
      <c r="B774" s="76" t="s">
        <v>910</v>
      </c>
      <c r="C774" s="169">
        <v>0.124</v>
      </c>
      <c r="D774" s="169">
        <v>8.8999999999999996E-2</v>
      </c>
      <c r="E774" s="169">
        <v>5.0999999999999997E-2</v>
      </c>
      <c r="F774" s="169">
        <v>9.2999999999999999E-2</v>
      </c>
      <c r="G774" s="169">
        <v>2.3E-2</v>
      </c>
      <c r="H774" s="169">
        <v>2.533624659828344E-2</v>
      </c>
      <c r="I774" s="169">
        <v>6.0000000000000001E-3</v>
      </c>
      <c r="J774" s="169">
        <v>7.1719000702369371E-3</v>
      </c>
    </row>
    <row r="775" spans="2:10" ht="15.5">
      <c r="B775" s="76" t="s">
        <v>911</v>
      </c>
      <c r="C775" s="169">
        <v>0.13300000000000001</v>
      </c>
      <c r="D775" s="169">
        <v>0.10299999999999999</v>
      </c>
      <c r="E775" s="169">
        <v>5.8000000000000003E-2</v>
      </c>
      <c r="F775" s="169">
        <v>0.1</v>
      </c>
      <c r="G775" s="169">
        <v>3.2000000000000001E-2</v>
      </c>
      <c r="H775" s="169">
        <v>3.6850899576441332E-2</v>
      </c>
      <c r="I775" s="169">
        <v>8.9999999999999993E-3</v>
      </c>
      <c r="J775" s="169">
        <v>1.0893022957958439E-2</v>
      </c>
    </row>
    <row r="776" spans="2:10" ht="14">
      <c r="B776" s="21" t="s">
        <v>903</v>
      </c>
    </row>
    <row r="778" spans="2:10" ht="15.5">
      <c r="B778" s="18" t="s">
        <v>95</v>
      </c>
      <c r="C778" s="27"/>
    </row>
    <row r="779" spans="2:10" ht="15.5">
      <c r="B779" s="18"/>
      <c r="C779" s="27"/>
    </row>
    <row r="780" spans="2:10" ht="15.5">
      <c r="B780" s="27" t="s">
        <v>96</v>
      </c>
    </row>
    <row r="781" spans="2:10" ht="15.5">
      <c r="B781" s="201" t="s">
        <v>912</v>
      </c>
      <c r="C781" s="202" t="s">
        <v>913</v>
      </c>
      <c r="D781" s="202" t="s">
        <v>914</v>
      </c>
      <c r="E781" s="202" t="s">
        <v>915</v>
      </c>
      <c r="F781" s="202" t="s">
        <v>916</v>
      </c>
      <c r="G781" s="202" t="s">
        <v>917</v>
      </c>
      <c r="H781" s="202" t="s">
        <v>918</v>
      </c>
    </row>
    <row r="782" spans="2:10" ht="15.5">
      <c r="B782" s="203" t="s">
        <v>919</v>
      </c>
      <c r="C782" s="204">
        <v>623405</v>
      </c>
      <c r="D782" s="204">
        <v>539038</v>
      </c>
      <c r="E782" s="204">
        <v>680117</v>
      </c>
      <c r="F782" s="204">
        <v>649555</v>
      </c>
      <c r="G782" s="204">
        <v>642825</v>
      </c>
      <c r="H782" s="204">
        <v>662358</v>
      </c>
    </row>
    <row r="783" spans="2:10" ht="15.5">
      <c r="B783" s="105" t="s">
        <v>625</v>
      </c>
      <c r="C783" s="65">
        <v>307271</v>
      </c>
      <c r="D783" s="65">
        <v>270288</v>
      </c>
      <c r="E783" s="65">
        <v>341606</v>
      </c>
      <c r="F783" s="65">
        <v>327904</v>
      </c>
      <c r="G783" s="65">
        <v>324865</v>
      </c>
      <c r="H783" s="65">
        <v>333627</v>
      </c>
    </row>
    <row r="784" spans="2:10" ht="15.5">
      <c r="B784" s="105" t="s">
        <v>626</v>
      </c>
      <c r="C784" s="65">
        <v>316134</v>
      </c>
      <c r="D784" s="65">
        <v>268750</v>
      </c>
      <c r="E784" s="65">
        <v>338511</v>
      </c>
      <c r="F784" s="65">
        <v>321651</v>
      </c>
      <c r="G784" s="65">
        <v>317960</v>
      </c>
      <c r="H784" s="65">
        <v>328731</v>
      </c>
    </row>
    <row r="785" spans="2:8" ht="15.5">
      <c r="B785" s="203" t="s">
        <v>920</v>
      </c>
      <c r="C785" s="204">
        <v>65514</v>
      </c>
      <c r="D785" s="204">
        <v>65320</v>
      </c>
      <c r="E785" s="204">
        <v>67831</v>
      </c>
      <c r="F785" s="204">
        <v>72516</v>
      </c>
      <c r="G785" s="204">
        <v>72460</v>
      </c>
      <c r="H785" s="204">
        <v>80531</v>
      </c>
    </row>
    <row r="786" spans="2:8" ht="15.5">
      <c r="B786" s="105" t="s">
        <v>625</v>
      </c>
      <c r="C786" s="65">
        <v>31507</v>
      </c>
      <c r="D786" s="65">
        <v>31705</v>
      </c>
      <c r="E786" s="65">
        <v>32431</v>
      </c>
      <c r="F786" s="65">
        <v>34764</v>
      </c>
      <c r="G786" s="65">
        <v>35013</v>
      </c>
      <c r="H786" s="65">
        <v>37673</v>
      </c>
    </row>
    <row r="787" spans="2:8" ht="15.5">
      <c r="B787" s="105" t="s">
        <v>626</v>
      </c>
      <c r="C787" s="65">
        <v>34007</v>
      </c>
      <c r="D787" s="65">
        <v>33615</v>
      </c>
      <c r="E787" s="65">
        <v>35400</v>
      </c>
      <c r="F787" s="65">
        <v>37752</v>
      </c>
      <c r="G787" s="65">
        <v>37447</v>
      </c>
      <c r="H787" s="65">
        <v>42858</v>
      </c>
    </row>
    <row r="788" spans="2:8" ht="15.5">
      <c r="B788" s="205" t="s">
        <v>921</v>
      </c>
      <c r="C788" s="206">
        <v>0.105</v>
      </c>
      <c r="D788" s="206">
        <v>0.121</v>
      </c>
      <c r="E788" s="206">
        <v>0.1</v>
      </c>
      <c r="F788" s="206">
        <v>0.112</v>
      </c>
      <c r="G788" s="206">
        <v>0.113</v>
      </c>
      <c r="H788" s="206">
        <v>0.122</v>
      </c>
    </row>
    <row r="789" spans="2:8" ht="15.5">
      <c r="B789" s="106" t="s">
        <v>625</v>
      </c>
      <c r="C789" s="99">
        <v>0.10299999999999999</v>
      </c>
      <c r="D789" s="99">
        <v>0.11700000000000001</v>
      </c>
      <c r="E789" s="99">
        <v>9.5000000000000001E-2</v>
      </c>
      <c r="F789" s="99">
        <v>0.106</v>
      </c>
      <c r="G789" s="99">
        <v>0.108</v>
      </c>
      <c r="H789" s="99">
        <v>0.113</v>
      </c>
    </row>
    <row r="790" spans="2:8" ht="15.5">
      <c r="B790" s="106" t="s">
        <v>626</v>
      </c>
      <c r="C790" s="99">
        <v>0.108</v>
      </c>
      <c r="D790" s="99">
        <v>0.125</v>
      </c>
      <c r="E790" s="99">
        <v>0.105</v>
      </c>
      <c r="F790" s="99">
        <v>0.11700000000000001</v>
      </c>
      <c r="G790" s="99">
        <v>0.11799999999999999</v>
      </c>
      <c r="H790" s="99">
        <v>0.13</v>
      </c>
    </row>
    <row r="791" spans="2:8" ht="14">
      <c r="B791" s="21" t="s">
        <v>903</v>
      </c>
    </row>
    <row r="793" spans="2:8" ht="15.5">
      <c r="B793" s="27" t="s">
        <v>97</v>
      </c>
    </row>
    <row r="794" spans="2:8" ht="15.5">
      <c r="B794" s="201" t="s">
        <v>912</v>
      </c>
      <c r="C794" s="202" t="s">
        <v>922</v>
      </c>
      <c r="D794" s="202" t="s">
        <v>923</v>
      </c>
      <c r="E794" s="202" t="s">
        <v>924</v>
      </c>
      <c r="F794" s="202" t="s">
        <v>925</v>
      </c>
      <c r="G794" s="202" t="s">
        <v>926</v>
      </c>
      <c r="H794" s="202" t="s">
        <v>927</v>
      </c>
    </row>
    <row r="795" spans="2:8" ht="15.5">
      <c r="B795" s="203" t="s">
        <v>919</v>
      </c>
      <c r="C795" s="204">
        <v>672955</v>
      </c>
      <c r="D795" s="204">
        <v>664161</v>
      </c>
      <c r="E795" s="204">
        <v>663113</v>
      </c>
      <c r="F795" s="204">
        <v>639656</v>
      </c>
      <c r="G795" s="204">
        <v>606712</v>
      </c>
      <c r="H795" s="204">
        <v>493786</v>
      </c>
    </row>
    <row r="796" spans="2:8" ht="15.5">
      <c r="B796" s="105" t="s">
        <v>625</v>
      </c>
      <c r="C796" s="65">
        <v>340825</v>
      </c>
      <c r="D796" s="65">
        <v>337723</v>
      </c>
      <c r="E796" s="65">
        <v>340576</v>
      </c>
      <c r="F796" s="65">
        <v>331046</v>
      </c>
      <c r="G796" s="65">
        <v>315448</v>
      </c>
      <c r="H796" s="65">
        <v>255953</v>
      </c>
    </row>
    <row r="797" spans="2:8" ht="15.5">
      <c r="B797" s="105" t="s">
        <v>626</v>
      </c>
      <c r="C797" s="65">
        <v>332130</v>
      </c>
      <c r="D797" s="65">
        <v>326438</v>
      </c>
      <c r="E797" s="65">
        <v>322537</v>
      </c>
      <c r="F797" s="65">
        <v>308610</v>
      </c>
      <c r="G797" s="65">
        <v>291264</v>
      </c>
      <c r="H797" s="65">
        <v>237833</v>
      </c>
    </row>
    <row r="798" spans="2:8" ht="15.5">
      <c r="B798" s="203" t="s">
        <v>928</v>
      </c>
      <c r="C798" s="204">
        <v>244503</v>
      </c>
      <c r="D798" s="204">
        <v>260060</v>
      </c>
      <c r="E798" s="204">
        <v>299954</v>
      </c>
      <c r="F798" s="204">
        <v>288116</v>
      </c>
      <c r="G798" s="204">
        <v>227552</v>
      </c>
      <c r="H798" s="204">
        <v>184999</v>
      </c>
    </row>
    <row r="799" spans="2:8" ht="15.5">
      <c r="B799" s="105" t="s">
        <v>625</v>
      </c>
      <c r="C799" s="65">
        <v>110892</v>
      </c>
      <c r="D799" s="65">
        <v>118751</v>
      </c>
      <c r="E799" s="65">
        <v>139172</v>
      </c>
      <c r="F799" s="65">
        <v>134297</v>
      </c>
      <c r="G799" s="65">
        <v>102527</v>
      </c>
      <c r="H799" s="65">
        <v>83057</v>
      </c>
    </row>
    <row r="800" spans="2:8" ht="15.5">
      <c r="B800" s="105" t="s">
        <v>626</v>
      </c>
      <c r="C800" s="65">
        <v>133611</v>
      </c>
      <c r="D800" s="65">
        <v>141309</v>
      </c>
      <c r="E800" s="65">
        <v>160782</v>
      </c>
      <c r="F800" s="65">
        <v>153819</v>
      </c>
      <c r="G800" s="65">
        <v>125025</v>
      </c>
      <c r="H800" s="65">
        <v>101942</v>
      </c>
    </row>
    <row r="801" spans="2:8" ht="15.5">
      <c r="B801" s="205" t="s">
        <v>921</v>
      </c>
      <c r="C801" s="206">
        <v>0.36299999999999999</v>
      </c>
      <c r="D801" s="206">
        <v>0.39200000000000002</v>
      </c>
      <c r="E801" s="206">
        <v>0.45200000000000001</v>
      </c>
      <c r="F801" s="206">
        <v>0.45</v>
      </c>
      <c r="G801" s="206">
        <v>0.375</v>
      </c>
      <c r="H801" s="206">
        <v>0.375</v>
      </c>
    </row>
    <row r="802" spans="2:8" ht="15.5">
      <c r="B802" s="106" t="s">
        <v>625</v>
      </c>
      <c r="C802" s="99">
        <v>0.32500000000000001</v>
      </c>
      <c r="D802" s="99">
        <v>0.35199999999999998</v>
      </c>
      <c r="E802" s="99">
        <v>0.40899999999999997</v>
      </c>
      <c r="F802" s="99">
        <v>0.40600000000000003</v>
      </c>
      <c r="G802" s="99">
        <v>0.32500000000000001</v>
      </c>
      <c r="H802" s="99">
        <v>0.32500000000000001</v>
      </c>
    </row>
    <row r="803" spans="2:8" ht="15.5">
      <c r="B803" s="106" t="s">
        <v>626</v>
      </c>
      <c r="C803" s="99">
        <v>0.40200000000000002</v>
      </c>
      <c r="D803" s="99">
        <v>0.433</v>
      </c>
      <c r="E803" s="99">
        <v>0.498</v>
      </c>
      <c r="F803" s="99">
        <v>0.498</v>
      </c>
      <c r="G803" s="99">
        <v>0.42899999999999999</v>
      </c>
      <c r="H803" s="99">
        <v>0.42899999999999999</v>
      </c>
    </row>
    <row r="804" spans="2:8" ht="14">
      <c r="B804" s="21" t="s">
        <v>903</v>
      </c>
    </row>
    <row r="806" spans="2:8" ht="15.5">
      <c r="B806" s="27" t="s">
        <v>98</v>
      </c>
    </row>
    <row r="807" spans="2:8" ht="15.5">
      <c r="B807" s="201" t="s">
        <v>912</v>
      </c>
      <c r="C807" s="202" t="s">
        <v>922</v>
      </c>
      <c r="D807" s="202" t="s">
        <v>923</v>
      </c>
      <c r="E807" s="202" t="s">
        <v>924</v>
      </c>
      <c r="F807" s="202" t="s">
        <v>925</v>
      </c>
      <c r="G807" s="202" t="s">
        <v>926</v>
      </c>
      <c r="H807" s="202" t="s">
        <v>927</v>
      </c>
    </row>
    <row r="808" spans="2:8" ht="15.5">
      <c r="B808" s="203" t="s">
        <v>929</v>
      </c>
      <c r="C808" s="204">
        <v>144784</v>
      </c>
      <c r="D808" s="204">
        <v>147547</v>
      </c>
      <c r="E808" s="204">
        <v>138950</v>
      </c>
      <c r="F808" s="204">
        <v>130511</v>
      </c>
      <c r="G808" s="204">
        <v>135068</v>
      </c>
      <c r="H808" s="204">
        <v>155889</v>
      </c>
    </row>
    <row r="809" spans="2:8" ht="15.5">
      <c r="B809" s="105" t="s">
        <v>625</v>
      </c>
      <c r="C809" s="65">
        <v>67111</v>
      </c>
      <c r="D809" s="65">
        <v>68371</v>
      </c>
      <c r="E809" s="65">
        <v>64631</v>
      </c>
      <c r="F809" s="65">
        <v>60659</v>
      </c>
      <c r="G809" s="65">
        <v>62649</v>
      </c>
      <c r="H809" s="65">
        <v>71441</v>
      </c>
    </row>
    <row r="810" spans="2:8" ht="15.5">
      <c r="B810" s="105" t="s">
        <v>626</v>
      </c>
      <c r="C810" s="65">
        <v>77673</v>
      </c>
      <c r="D810" s="65">
        <v>79176</v>
      </c>
      <c r="E810" s="65">
        <v>74319</v>
      </c>
      <c r="F810" s="65">
        <v>69852</v>
      </c>
      <c r="G810" s="65">
        <v>72419</v>
      </c>
      <c r="H810" s="65">
        <v>84448</v>
      </c>
    </row>
    <row r="811" spans="2:8" ht="15.5">
      <c r="B811" s="203" t="s">
        <v>920</v>
      </c>
      <c r="C811" s="204">
        <v>65514</v>
      </c>
      <c r="D811" s="204">
        <v>65320</v>
      </c>
      <c r="E811" s="204">
        <v>67831</v>
      </c>
      <c r="F811" s="204">
        <v>72516</v>
      </c>
      <c r="G811" s="204">
        <v>72460</v>
      </c>
      <c r="H811" s="204">
        <v>80531</v>
      </c>
    </row>
    <row r="812" spans="2:8" ht="15.5">
      <c r="B812" s="105" t="s">
        <v>625</v>
      </c>
      <c r="C812" s="65">
        <v>31507</v>
      </c>
      <c r="D812" s="65">
        <v>31705</v>
      </c>
      <c r="E812" s="65">
        <v>32431</v>
      </c>
      <c r="F812" s="65">
        <v>34764</v>
      </c>
      <c r="G812" s="65">
        <v>35013</v>
      </c>
      <c r="H812" s="65">
        <v>37673</v>
      </c>
    </row>
    <row r="813" spans="2:8" ht="15.5">
      <c r="B813" s="105" t="s">
        <v>626</v>
      </c>
      <c r="C813" s="65">
        <v>34007</v>
      </c>
      <c r="D813" s="65">
        <v>33615</v>
      </c>
      <c r="E813" s="65">
        <v>35400</v>
      </c>
      <c r="F813" s="65">
        <v>37752</v>
      </c>
      <c r="G813" s="65">
        <v>37447</v>
      </c>
      <c r="H813" s="65">
        <v>42858</v>
      </c>
    </row>
    <row r="814" spans="2:8" ht="15.5">
      <c r="B814" s="205" t="s">
        <v>921</v>
      </c>
      <c r="C814" s="206">
        <v>0.45200000000000001</v>
      </c>
      <c r="D814" s="206">
        <v>0.443</v>
      </c>
      <c r="E814" s="206">
        <v>0.48799999999999999</v>
      </c>
      <c r="F814" s="206">
        <v>0.55600000000000005</v>
      </c>
      <c r="G814" s="206">
        <v>0.53600000000000003</v>
      </c>
      <c r="H814" s="206">
        <v>0.51700000000000002</v>
      </c>
    </row>
    <row r="815" spans="2:8" ht="15.5">
      <c r="B815" s="106" t="s">
        <v>625</v>
      </c>
      <c r="C815" s="99">
        <v>0.46899999999999997</v>
      </c>
      <c r="D815" s="99">
        <v>0.46400000000000002</v>
      </c>
      <c r="E815" s="99">
        <v>0.502</v>
      </c>
      <c r="F815" s="99">
        <v>0.57299999999999995</v>
      </c>
      <c r="G815" s="99">
        <v>0.55900000000000005</v>
      </c>
      <c r="H815" s="99">
        <v>0.52700000000000002</v>
      </c>
    </row>
    <row r="816" spans="2:8" ht="15.5">
      <c r="B816" s="106" t="s">
        <v>626</v>
      </c>
      <c r="C816" s="99">
        <v>0.438</v>
      </c>
      <c r="D816" s="99">
        <v>0.42499999999999999</v>
      </c>
      <c r="E816" s="99">
        <v>0.47599999999999998</v>
      </c>
      <c r="F816" s="99">
        <v>0.54</v>
      </c>
      <c r="G816" s="99">
        <v>0.51700000000000002</v>
      </c>
      <c r="H816" s="99">
        <v>0.50800000000000001</v>
      </c>
    </row>
    <row r="817" spans="2:9" ht="14">
      <c r="B817" s="21" t="s">
        <v>903</v>
      </c>
    </row>
    <row r="819" spans="2:9" ht="15.5">
      <c r="B819" s="18" t="s">
        <v>99</v>
      </c>
      <c r="C819" s="27"/>
    </row>
    <row r="820" spans="2:9" ht="15.5">
      <c r="B820" s="18"/>
      <c r="C820" s="27"/>
    </row>
    <row r="821" spans="2:9" ht="15.5">
      <c r="B821" s="27" t="s">
        <v>930</v>
      </c>
    </row>
    <row r="822" spans="2:9" ht="31">
      <c r="B822" s="360" t="s">
        <v>849</v>
      </c>
      <c r="C822" s="449" t="s">
        <v>850</v>
      </c>
      <c r="D822" s="449" t="s">
        <v>851</v>
      </c>
      <c r="E822" s="449" t="s">
        <v>852</v>
      </c>
      <c r="F822" s="449" t="s">
        <v>931</v>
      </c>
      <c r="G822" s="449" t="s">
        <v>853</v>
      </c>
      <c r="H822" s="533" t="s">
        <v>854</v>
      </c>
    </row>
    <row r="823" spans="2:9" ht="15.5">
      <c r="B823" s="363" t="s">
        <v>932</v>
      </c>
      <c r="C823" s="664">
        <v>0.86299999999999999</v>
      </c>
      <c r="D823" s="664">
        <v>0.875</v>
      </c>
      <c r="E823" s="664">
        <v>0.86899999999999999</v>
      </c>
      <c r="F823" s="664">
        <v>0.82299999999999995</v>
      </c>
      <c r="G823" s="665">
        <v>0.77</v>
      </c>
      <c r="H823" s="665">
        <v>0.75700000000000001</v>
      </c>
    </row>
    <row r="824" spans="2:9" ht="15.5">
      <c r="B824" s="367" t="s">
        <v>706</v>
      </c>
      <c r="C824" s="200">
        <v>0.86099999999999999</v>
      </c>
      <c r="D824" s="666">
        <v>0.871</v>
      </c>
      <c r="E824" s="666">
        <v>0.86199999999999999</v>
      </c>
      <c r="F824" s="666">
        <v>0.81699999999999995</v>
      </c>
      <c r="G824" s="667">
        <v>0.755</v>
      </c>
      <c r="H824" s="667">
        <v>0.73899999999999999</v>
      </c>
    </row>
    <row r="825" spans="2:9" ht="15.5">
      <c r="B825" s="367" t="s">
        <v>708</v>
      </c>
      <c r="C825" s="200">
        <v>0.86499999999999999</v>
      </c>
      <c r="D825" s="666">
        <v>0.878</v>
      </c>
      <c r="E825" s="666">
        <v>0.876</v>
      </c>
      <c r="F825" s="666">
        <v>0.83</v>
      </c>
      <c r="G825" s="667">
        <v>0.78500000000000003</v>
      </c>
      <c r="H825" s="667">
        <v>0.754</v>
      </c>
    </row>
    <row r="826" spans="2:9" ht="15.5">
      <c r="B826" s="363" t="s">
        <v>933</v>
      </c>
      <c r="C826" s="668">
        <v>8.8999999999999996E-2</v>
      </c>
      <c r="D826" s="664">
        <v>8.1000000000000003E-2</v>
      </c>
      <c r="E826" s="664">
        <v>5.8000000000000003E-2</v>
      </c>
      <c r="F826" s="664">
        <v>8.3000000000000004E-2</v>
      </c>
      <c r="G826" s="665">
        <v>0.14499999999999999</v>
      </c>
      <c r="H826" s="665">
        <v>0.191</v>
      </c>
    </row>
    <row r="827" spans="2:9" ht="15.5">
      <c r="B827" s="367" t="s">
        <v>706</v>
      </c>
      <c r="C827" s="200">
        <v>9.2999999999999999E-2</v>
      </c>
      <c r="D827" s="666">
        <v>8.6999999999999994E-2</v>
      </c>
      <c r="E827" s="666">
        <v>6.3E-2</v>
      </c>
      <c r="F827" s="666">
        <v>8.5999999999999993E-2</v>
      </c>
      <c r="G827" s="667">
        <v>0.155</v>
      </c>
      <c r="H827" s="667">
        <v>0.19400000000000001</v>
      </c>
    </row>
    <row r="828" spans="2:9" ht="15.5">
      <c r="B828" s="367" t="s">
        <v>708</v>
      </c>
      <c r="C828" s="200">
        <v>8.5999999999999993E-2</v>
      </c>
      <c r="D828" s="666">
        <v>7.5999999999999998E-2</v>
      </c>
      <c r="E828" s="666">
        <v>5.3999999999999999E-2</v>
      </c>
      <c r="F828" s="666">
        <v>0.08</v>
      </c>
      <c r="G828" s="667">
        <v>0.13600000000000001</v>
      </c>
      <c r="H828" s="667">
        <v>0.17799999999999999</v>
      </c>
    </row>
    <row r="829" spans="2:9" ht="15.5">
      <c r="B829" s="363" t="s">
        <v>934</v>
      </c>
      <c r="C829" s="668">
        <v>4.8000000000000001E-2</v>
      </c>
      <c r="D829" s="664">
        <v>4.3999999999999997E-2</v>
      </c>
      <c r="E829" s="664">
        <v>7.2999999999999995E-2</v>
      </c>
      <c r="F829" s="664">
        <v>9.4E-2</v>
      </c>
      <c r="G829" s="665">
        <v>8.5000000000000006E-2</v>
      </c>
      <c r="H829" s="665">
        <v>6.8000000000000005E-2</v>
      </c>
      <c r="I829" s="82" t="s">
        <v>704</v>
      </c>
    </row>
    <row r="830" spans="2:9" ht="15.5">
      <c r="B830" s="367" t="s">
        <v>706</v>
      </c>
      <c r="C830" s="200">
        <v>4.5999999999999999E-2</v>
      </c>
      <c r="D830" s="666">
        <v>4.2000000000000003E-2</v>
      </c>
      <c r="E830" s="666">
        <v>7.5999999999999998E-2</v>
      </c>
      <c r="F830" s="666">
        <v>9.7000000000000003E-2</v>
      </c>
      <c r="G830" s="667">
        <v>9.2999999999999999E-2</v>
      </c>
      <c r="H830" s="667">
        <v>0.05</v>
      </c>
    </row>
    <row r="831" spans="2:9" ht="15.5">
      <c r="B831" s="368" t="s">
        <v>708</v>
      </c>
      <c r="C831" s="200">
        <v>4.9000000000000002E-2</v>
      </c>
      <c r="D831" s="666">
        <v>4.5999999999999999E-2</v>
      </c>
      <c r="E831" s="666">
        <v>7.0999999999999994E-2</v>
      </c>
      <c r="F831" s="666">
        <v>0.09</v>
      </c>
      <c r="G831" s="667">
        <v>7.9000000000000001E-2</v>
      </c>
      <c r="H831" s="667">
        <v>6.8000000000000005E-2</v>
      </c>
    </row>
    <row r="832" spans="2:9" ht="14">
      <c r="B832" s="133" t="s">
        <v>936</v>
      </c>
    </row>
    <row r="834" spans="2:9" ht="15.5">
      <c r="B834" s="27" t="s">
        <v>101</v>
      </c>
    </row>
    <row r="835" spans="2:9" ht="31">
      <c r="B835" s="360" t="s">
        <v>849</v>
      </c>
      <c r="C835" s="361" t="s">
        <v>850</v>
      </c>
      <c r="D835" s="361" t="s">
        <v>851</v>
      </c>
      <c r="E835" s="361" t="s">
        <v>852</v>
      </c>
      <c r="F835" s="361" t="s">
        <v>931</v>
      </c>
      <c r="G835" s="361" t="s">
        <v>853</v>
      </c>
      <c r="H835" s="362" t="s">
        <v>854</v>
      </c>
    </row>
    <row r="836" spans="2:9" ht="15.5">
      <c r="B836" s="363" t="s">
        <v>932</v>
      </c>
      <c r="C836" s="664">
        <v>0.78</v>
      </c>
      <c r="D836" s="664">
        <v>0.8</v>
      </c>
      <c r="E836" s="664">
        <v>0.82199999999999995</v>
      </c>
      <c r="F836" s="664">
        <v>0.79600000000000004</v>
      </c>
      <c r="G836" s="665">
        <v>0.68300000000000005</v>
      </c>
      <c r="H836" s="665">
        <v>0.69099999999999995</v>
      </c>
    </row>
    <row r="837" spans="2:9" ht="15.5">
      <c r="B837" s="367" t="s">
        <v>706</v>
      </c>
      <c r="C837" s="200">
        <v>0.76400000000000001</v>
      </c>
      <c r="D837" s="666">
        <v>0.78600000000000003</v>
      </c>
      <c r="E837" s="666">
        <v>0.80400000000000005</v>
      </c>
      <c r="F837" s="666">
        <v>0.77200000000000002</v>
      </c>
      <c r="G837" s="667">
        <v>0.65300000000000002</v>
      </c>
      <c r="H837" s="667">
        <v>0.63400000000000001</v>
      </c>
    </row>
    <row r="838" spans="2:9" ht="15.5">
      <c r="B838" s="367" t="s">
        <v>708</v>
      </c>
      <c r="C838" s="200">
        <v>0.79600000000000004</v>
      </c>
      <c r="D838" s="666">
        <v>0.81299999999999994</v>
      </c>
      <c r="E838" s="666">
        <v>0.84</v>
      </c>
      <c r="F838" s="666">
        <v>0.82099999999999995</v>
      </c>
      <c r="G838" s="667">
        <v>0.71299999999999997</v>
      </c>
      <c r="H838" s="667">
        <v>0.68500000000000005</v>
      </c>
    </row>
    <row r="839" spans="2:9" ht="15.5">
      <c r="B839" s="363" t="s">
        <v>933</v>
      </c>
      <c r="C839" s="668">
        <v>0.16400000000000001</v>
      </c>
      <c r="D839" s="664">
        <v>0.13400000000000001</v>
      </c>
      <c r="E839" s="664">
        <v>0.1</v>
      </c>
      <c r="F839" s="664">
        <v>0.109</v>
      </c>
      <c r="G839" s="665">
        <v>0.246</v>
      </c>
      <c r="H839" s="665">
        <v>0.30199999999999999</v>
      </c>
    </row>
    <row r="840" spans="2:9" ht="15.5">
      <c r="B840" s="367" t="s">
        <v>706</v>
      </c>
      <c r="C840" s="200">
        <v>0.17699999999999999</v>
      </c>
      <c r="D840" s="666">
        <v>0.14399999999999999</v>
      </c>
      <c r="E840" s="666">
        <v>0.109</v>
      </c>
      <c r="F840" s="666">
        <v>0.115</v>
      </c>
      <c r="G840" s="667">
        <v>0.26900000000000002</v>
      </c>
      <c r="H840" s="667">
        <v>0.314</v>
      </c>
      <c r="I840" s="82" t="s">
        <v>704</v>
      </c>
    </row>
    <row r="841" spans="2:9" ht="15.5">
      <c r="B841" s="367" t="s">
        <v>708</v>
      </c>
      <c r="C841" s="200">
        <v>0.151</v>
      </c>
      <c r="D841" s="666">
        <v>0.124</v>
      </c>
      <c r="E841" s="666">
        <v>9.1999999999999998E-2</v>
      </c>
      <c r="F841" s="666">
        <v>0.10299999999999999</v>
      </c>
      <c r="G841" s="667">
        <v>0.223</v>
      </c>
      <c r="H841" s="667">
        <v>0.26100000000000001</v>
      </c>
    </row>
    <row r="842" spans="2:9" ht="15.5">
      <c r="B842" s="363" t="s">
        <v>934</v>
      </c>
      <c r="C842" s="668">
        <v>5.6000000000000001E-2</v>
      </c>
      <c r="D842" s="664">
        <v>6.7000000000000004E-2</v>
      </c>
      <c r="E842" s="664">
        <v>7.8E-2</v>
      </c>
      <c r="F842" s="664">
        <v>9.5000000000000001E-2</v>
      </c>
      <c r="G842" s="665">
        <v>7.0999999999999994E-2</v>
      </c>
      <c r="H842" s="665">
        <v>5.5E-2</v>
      </c>
    </row>
    <row r="843" spans="2:9" ht="15.5">
      <c r="B843" s="367" t="s">
        <v>706</v>
      </c>
      <c r="C843" s="200">
        <v>5.8999999999999997E-2</v>
      </c>
      <c r="D843" s="666">
        <v>7.0000000000000007E-2</v>
      </c>
      <c r="E843" s="666">
        <v>8.6999999999999994E-2</v>
      </c>
      <c r="F843" s="666">
        <v>0.113</v>
      </c>
      <c r="G843" s="667">
        <v>7.8E-2</v>
      </c>
      <c r="H843" s="667">
        <v>5.0999999999999997E-2</v>
      </c>
    </row>
    <row r="844" spans="2:9" ht="15.5">
      <c r="B844" s="368" t="s">
        <v>708</v>
      </c>
      <c r="C844" s="200">
        <v>5.2999999999999999E-2</v>
      </c>
      <c r="D844" s="666">
        <v>6.3E-2</v>
      </c>
      <c r="E844" s="666">
        <v>6.8000000000000005E-2</v>
      </c>
      <c r="F844" s="666">
        <v>7.6999999999999999E-2</v>
      </c>
      <c r="G844" s="667">
        <v>6.4000000000000001E-2</v>
      </c>
      <c r="H844" s="667">
        <v>5.3999999999999999E-2</v>
      </c>
    </row>
    <row r="845" spans="2:9" ht="14">
      <c r="B845" s="133" t="s">
        <v>936</v>
      </c>
    </row>
    <row r="847" spans="2:9" ht="15.5">
      <c r="B847" s="27" t="s">
        <v>940</v>
      </c>
    </row>
    <row r="848" spans="2:9" ht="15.5">
      <c r="B848" s="95" t="s">
        <v>376</v>
      </c>
      <c r="C848" s="71" t="s">
        <v>422</v>
      </c>
      <c r="D848" s="71" t="s">
        <v>423</v>
      </c>
      <c r="E848" s="71" t="s">
        <v>424</v>
      </c>
      <c r="F848" s="71" t="s">
        <v>941</v>
      </c>
      <c r="G848" s="71" t="s">
        <v>335</v>
      </c>
      <c r="H848" s="71" t="s">
        <v>256</v>
      </c>
    </row>
    <row r="849" spans="2:8" ht="15.5">
      <c r="B849" s="96" t="s">
        <v>942</v>
      </c>
      <c r="C849" s="664">
        <v>0.90400000000000003</v>
      </c>
      <c r="D849" s="664">
        <v>0.89200000000000002</v>
      </c>
      <c r="E849" s="664">
        <v>0.876</v>
      </c>
      <c r="F849" s="664">
        <v>0.81899999999999995</v>
      </c>
      <c r="G849" s="665">
        <v>0.81399999999999995</v>
      </c>
      <c r="H849" s="665">
        <v>0.79</v>
      </c>
    </row>
    <row r="850" spans="2:8" ht="15.5">
      <c r="B850" s="76" t="s">
        <v>625</v>
      </c>
      <c r="C850" s="200">
        <v>0.90900000000000003</v>
      </c>
      <c r="D850" s="666">
        <v>0.89400000000000002</v>
      </c>
      <c r="E850" s="666">
        <v>0.871</v>
      </c>
      <c r="F850" s="666">
        <v>0.81699999999999995</v>
      </c>
      <c r="G850" s="667">
        <v>0.80500000000000005</v>
      </c>
      <c r="H850" s="667">
        <v>0.79200000000000004</v>
      </c>
    </row>
    <row r="851" spans="2:8" ht="15.5">
      <c r="B851" s="76" t="s">
        <v>626</v>
      </c>
      <c r="C851" s="200">
        <v>0.89900000000000002</v>
      </c>
      <c r="D851" s="666">
        <v>0.89100000000000001</v>
      </c>
      <c r="E851" s="666">
        <v>0.88</v>
      </c>
      <c r="F851" s="666">
        <v>0.82</v>
      </c>
      <c r="G851" s="667">
        <v>0.82099999999999995</v>
      </c>
      <c r="H851" s="667">
        <v>0.78800000000000003</v>
      </c>
    </row>
    <row r="852" spans="2:8" ht="15.5">
      <c r="B852" s="96" t="s">
        <v>943</v>
      </c>
      <c r="C852" s="668">
        <v>5.1999999999999998E-2</v>
      </c>
      <c r="D852" s="664">
        <v>0.05</v>
      </c>
      <c r="E852" s="664">
        <v>4.2000000000000003E-2</v>
      </c>
      <c r="F852" s="664">
        <v>7.8E-2</v>
      </c>
      <c r="G852" s="665">
        <v>9.4E-2</v>
      </c>
      <c r="H852" s="665">
        <v>0.13500000000000001</v>
      </c>
    </row>
    <row r="853" spans="2:8" ht="15.5">
      <c r="B853" s="76" t="s">
        <v>625</v>
      </c>
      <c r="C853" s="200">
        <v>0.05</v>
      </c>
      <c r="D853" s="666">
        <v>5.2999999999999999E-2</v>
      </c>
      <c r="E853" s="666">
        <v>4.7E-2</v>
      </c>
      <c r="F853" s="666">
        <v>8.2000000000000003E-2</v>
      </c>
      <c r="G853" s="667">
        <v>9.7000000000000003E-2</v>
      </c>
      <c r="H853" s="667">
        <v>0.13400000000000001</v>
      </c>
    </row>
    <row r="854" spans="2:8" ht="15.5">
      <c r="B854" s="76" t="s">
        <v>626</v>
      </c>
      <c r="C854" s="200">
        <v>5.3999999999999999E-2</v>
      </c>
      <c r="D854" s="666">
        <v>4.8000000000000001E-2</v>
      </c>
      <c r="E854" s="666">
        <v>3.7999999999999999E-2</v>
      </c>
      <c r="F854" s="666">
        <v>7.4999999999999997E-2</v>
      </c>
      <c r="G854" s="667">
        <v>9.1999999999999998E-2</v>
      </c>
      <c r="H854" s="667">
        <v>0.13600000000000001</v>
      </c>
    </row>
    <row r="855" spans="2:8" ht="15.5">
      <c r="B855" s="96" t="s">
        <v>944</v>
      </c>
      <c r="C855" s="668">
        <v>4.3999999999999997E-2</v>
      </c>
      <c r="D855" s="664">
        <v>5.8000000000000003E-2</v>
      </c>
      <c r="E855" s="664">
        <v>8.2000000000000003E-2</v>
      </c>
      <c r="F855" s="664">
        <v>0.10299999999999999</v>
      </c>
      <c r="G855" s="665">
        <v>9.1999999999999998E-2</v>
      </c>
      <c r="H855" s="665">
        <v>7.4999999999999997E-2</v>
      </c>
    </row>
    <row r="856" spans="2:8" ht="15.5">
      <c r="B856" s="76" t="s">
        <v>625</v>
      </c>
      <c r="C856" s="200">
        <v>0.04</v>
      </c>
      <c r="D856" s="666">
        <v>5.3999999999999999E-2</v>
      </c>
      <c r="E856" s="666">
        <v>8.2000000000000003E-2</v>
      </c>
      <c r="F856" s="666">
        <v>0.10100000000000001</v>
      </c>
      <c r="G856" s="667">
        <v>9.7000000000000003E-2</v>
      </c>
      <c r="H856" s="667">
        <v>7.3999999999999996E-2</v>
      </c>
    </row>
    <row r="857" spans="2:8" ht="15.5">
      <c r="B857" s="76" t="s">
        <v>626</v>
      </c>
      <c r="C857" s="200">
        <v>4.7E-2</v>
      </c>
      <c r="D857" s="666">
        <v>6.0999999999999999E-2</v>
      </c>
      <c r="E857" s="666">
        <v>8.1000000000000003E-2</v>
      </c>
      <c r="F857" s="666">
        <v>0.105</v>
      </c>
      <c r="G857" s="667">
        <v>8.6999999999999994E-2</v>
      </c>
      <c r="H857" s="667">
        <v>7.4999999999999997E-2</v>
      </c>
    </row>
    <row r="858" spans="2:8" ht="14">
      <c r="B858" s="133" t="s">
        <v>936</v>
      </c>
    </row>
    <row r="860" spans="2:8" ht="15.5">
      <c r="B860" s="27" t="s">
        <v>103</v>
      </c>
    </row>
    <row r="861" spans="2:8" ht="15.5">
      <c r="B861" s="95" t="s">
        <v>945</v>
      </c>
      <c r="C861" s="71" t="s">
        <v>422</v>
      </c>
      <c r="D861" s="71" t="s">
        <v>423</v>
      </c>
      <c r="E861" s="71" t="s">
        <v>424</v>
      </c>
      <c r="F861" s="71" t="s">
        <v>941</v>
      </c>
      <c r="G861" s="71" t="s">
        <v>335</v>
      </c>
      <c r="H861" s="71" t="s">
        <v>256</v>
      </c>
    </row>
    <row r="862" spans="2:8" ht="15.5">
      <c r="B862" s="96" t="s">
        <v>942</v>
      </c>
      <c r="C862" s="664">
        <v>0.86399999999999999</v>
      </c>
      <c r="D862" s="664">
        <v>0.86899999999999999</v>
      </c>
      <c r="E862" s="664">
        <v>0.85899999999999999</v>
      </c>
      <c r="F862" s="664">
        <v>0.80100000000000005</v>
      </c>
      <c r="G862" s="665">
        <v>0.73499999999999999</v>
      </c>
      <c r="H862" s="665">
        <v>0.68899999999999995</v>
      </c>
    </row>
    <row r="863" spans="2:8" ht="15.5">
      <c r="B863" s="76" t="s">
        <v>625</v>
      </c>
      <c r="C863" s="200">
        <v>0.86299999999999999</v>
      </c>
      <c r="D863" s="666">
        <v>0.871</v>
      </c>
      <c r="E863" s="666">
        <v>0.85</v>
      </c>
      <c r="F863" s="666">
        <v>0.79700000000000004</v>
      </c>
      <c r="G863" s="667">
        <v>0.71599999999999997</v>
      </c>
      <c r="H863" s="667">
        <v>0.67800000000000005</v>
      </c>
    </row>
    <row r="864" spans="2:8" ht="15.5">
      <c r="B864" s="76" t="s">
        <v>626</v>
      </c>
      <c r="C864" s="200">
        <v>0.86399999999999999</v>
      </c>
      <c r="D864" s="666">
        <v>0.86699999999999999</v>
      </c>
      <c r="E864" s="666">
        <v>0.86599999999999999</v>
      </c>
      <c r="F864" s="666">
        <v>0.80500000000000005</v>
      </c>
      <c r="G864" s="667">
        <v>0.751</v>
      </c>
      <c r="H864" s="667">
        <v>0.69899999999999995</v>
      </c>
    </row>
    <row r="865" spans="2:8" ht="15.5">
      <c r="B865" s="96" t="s">
        <v>943</v>
      </c>
      <c r="C865" s="668">
        <v>7.2999999999999995E-2</v>
      </c>
      <c r="D865" s="664">
        <v>0.06</v>
      </c>
      <c r="E865" s="664">
        <v>0.05</v>
      </c>
      <c r="F865" s="664">
        <v>8.8999999999999996E-2</v>
      </c>
      <c r="G865" s="665">
        <v>0.14000000000000001</v>
      </c>
      <c r="H865" s="665">
        <v>0.20599999999999999</v>
      </c>
    </row>
    <row r="866" spans="2:8" ht="15.5">
      <c r="B866" s="76" t="s">
        <v>625</v>
      </c>
      <c r="C866" s="200">
        <v>7.5999999999999998E-2</v>
      </c>
      <c r="D866" s="666">
        <v>6.4000000000000001E-2</v>
      </c>
      <c r="E866" s="666">
        <v>5.7000000000000002E-2</v>
      </c>
      <c r="F866" s="666">
        <v>9.5000000000000001E-2</v>
      </c>
      <c r="G866" s="667">
        <v>0.153</v>
      </c>
      <c r="H866" s="667">
        <v>0.216</v>
      </c>
    </row>
    <row r="867" spans="2:8" ht="15.5">
      <c r="B867" s="76" t="s">
        <v>626</v>
      </c>
      <c r="C867" s="200">
        <v>7.0999999999999994E-2</v>
      </c>
      <c r="D867" s="666">
        <v>5.6000000000000001E-2</v>
      </c>
      <c r="E867" s="666">
        <v>4.4999999999999998E-2</v>
      </c>
      <c r="F867" s="666">
        <v>8.5000000000000006E-2</v>
      </c>
      <c r="G867" s="667">
        <v>0.129</v>
      </c>
      <c r="H867" s="667">
        <v>0.19800000000000001</v>
      </c>
    </row>
    <row r="868" spans="2:8" ht="15.5">
      <c r="B868" s="96" t="s">
        <v>944</v>
      </c>
      <c r="C868" s="668">
        <v>6.3E-2</v>
      </c>
      <c r="D868" s="664">
        <v>7.0999999999999994E-2</v>
      </c>
      <c r="E868" s="664">
        <v>9.0999999999999998E-2</v>
      </c>
      <c r="F868" s="664">
        <v>0.11</v>
      </c>
      <c r="G868" s="665">
        <v>0.125</v>
      </c>
      <c r="H868" s="665">
        <v>0.105</v>
      </c>
    </row>
    <row r="869" spans="2:8" ht="15.5">
      <c r="B869" s="76" t="s">
        <v>625</v>
      </c>
      <c r="C869" s="200">
        <v>6.0999999999999999E-2</v>
      </c>
      <c r="D869" s="666">
        <v>6.5000000000000002E-2</v>
      </c>
      <c r="E869" s="666">
        <v>9.2999999999999999E-2</v>
      </c>
      <c r="F869" s="666">
        <v>0.109</v>
      </c>
      <c r="G869" s="667">
        <v>0.13100000000000001</v>
      </c>
      <c r="H869" s="667">
        <v>0.106</v>
      </c>
    </row>
    <row r="870" spans="2:8" ht="15.5">
      <c r="B870" s="76" t="s">
        <v>626</v>
      </c>
      <c r="C870" s="200">
        <v>6.5000000000000002E-2</v>
      </c>
      <c r="D870" s="666">
        <v>7.6999999999999999E-2</v>
      </c>
      <c r="E870" s="666">
        <v>8.8999999999999996E-2</v>
      </c>
      <c r="F870" s="666">
        <v>0.111</v>
      </c>
      <c r="G870" s="667">
        <v>0.11899999999999999</v>
      </c>
      <c r="H870" s="667">
        <v>0.104</v>
      </c>
    </row>
    <row r="871" spans="2:8" ht="14">
      <c r="B871" s="133" t="s">
        <v>419</v>
      </c>
    </row>
    <row r="873" spans="2:8" ht="15.5">
      <c r="B873" s="27" t="s">
        <v>104</v>
      </c>
    </row>
    <row r="874" spans="2:8" ht="15.5">
      <c r="B874" s="95" t="s">
        <v>945</v>
      </c>
      <c r="C874" s="71" t="s">
        <v>422</v>
      </c>
      <c r="D874" s="71" t="s">
        <v>423</v>
      </c>
      <c r="E874" s="71" t="s">
        <v>424</v>
      </c>
      <c r="F874" s="71" t="s">
        <v>941</v>
      </c>
      <c r="G874" s="71" t="s">
        <v>335</v>
      </c>
      <c r="H874" s="71" t="s">
        <v>256</v>
      </c>
    </row>
    <row r="875" spans="2:8" ht="15.5">
      <c r="B875" s="96" t="s">
        <v>942</v>
      </c>
      <c r="C875" s="664">
        <v>0.94399999999999995</v>
      </c>
      <c r="D875" s="664">
        <v>0.95499999999999996</v>
      </c>
      <c r="E875" s="664">
        <v>0.92600000000000005</v>
      </c>
      <c r="F875" s="664">
        <v>0.872</v>
      </c>
      <c r="G875" s="665">
        <v>0.89300000000000002</v>
      </c>
      <c r="H875" s="665">
        <v>0.89100000000000001</v>
      </c>
    </row>
    <row r="876" spans="2:8" ht="15.5">
      <c r="B876" s="207" t="s">
        <v>625</v>
      </c>
      <c r="C876" s="200">
        <v>0.95499999999999996</v>
      </c>
      <c r="D876" s="666">
        <v>0.95699999999999996</v>
      </c>
      <c r="E876" s="666">
        <v>0.93100000000000005</v>
      </c>
      <c r="F876" s="666">
        <v>0.88100000000000001</v>
      </c>
      <c r="G876" s="667">
        <v>0.89500000000000002</v>
      </c>
      <c r="H876" s="667">
        <v>0.90600000000000003</v>
      </c>
    </row>
    <row r="877" spans="2:8" ht="15.5">
      <c r="B877" s="207" t="s">
        <v>626</v>
      </c>
      <c r="C877" s="200">
        <v>0.93400000000000005</v>
      </c>
      <c r="D877" s="666">
        <v>0.95299999999999996</v>
      </c>
      <c r="E877" s="666">
        <v>0.92100000000000004</v>
      </c>
      <c r="F877" s="666">
        <v>0.86499999999999999</v>
      </c>
      <c r="G877" s="667">
        <v>0.89100000000000001</v>
      </c>
      <c r="H877" s="667">
        <v>0.878</v>
      </c>
    </row>
    <row r="878" spans="2:8" ht="15.5">
      <c r="B878" s="96" t="s">
        <v>943</v>
      </c>
      <c r="C878" s="668">
        <v>3.1E-2</v>
      </c>
      <c r="D878" s="664">
        <v>0.05</v>
      </c>
      <c r="E878" s="664">
        <v>2.3E-2</v>
      </c>
      <c r="F878" s="664">
        <v>0.05</v>
      </c>
      <c r="G878" s="665">
        <v>4.8000000000000001E-2</v>
      </c>
      <c r="H878" s="665">
        <v>6.4000000000000001E-2</v>
      </c>
    </row>
    <row r="879" spans="2:8" ht="15.5">
      <c r="B879" s="207" t="s">
        <v>625</v>
      </c>
      <c r="C879" s="200">
        <v>2.5000000000000001E-2</v>
      </c>
      <c r="D879" s="666">
        <v>5.2999999999999999E-2</v>
      </c>
      <c r="E879" s="666">
        <v>2.1999999999999999E-2</v>
      </c>
      <c r="F879" s="666">
        <v>4.8000000000000001E-2</v>
      </c>
      <c r="G879" s="667">
        <v>4.2000000000000003E-2</v>
      </c>
      <c r="H879" s="667">
        <v>5.1999999999999998E-2</v>
      </c>
    </row>
    <row r="880" spans="2:8" ht="15.5">
      <c r="B880" s="207" t="s">
        <v>626</v>
      </c>
      <c r="C880" s="200">
        <v>3.5999999999999997E-2</v>
      </c>
      <c r="D880" s="666">
        <v>4.8000000000000001E-2</v>
      </c>
      <c r="E880" s="666">
        <v>2.4E-2</v>
      </c>
      <c r="F880" s="666">
        <v>5.1999999999999998E-2</v>
      </c>
      <c r="G880" s="667">
        <v>5.5E-2</v>
      </c>
      <c r="H880" s="667">
        <v>7.4999999999999997E-2</v>
      </c>
    </row>
    <row r="881" spans="2:8" ht="15.5">
      <c r="B881" s="96" t="s">
        <v>944</v>
      </c>
      <c r="C881" s="668">
        <v>2.5000000000000001E-2</v>
      </c>
      <c r="D881" s="664">
        <v>1.7000000000000001E-2</v>
      </c>
      <c r="E881" s="664">
        <v>5.0999999999999997E-2</v>
      </c>
      <c r="F881" s="664">
        <v>7.8E-2</v>
      </c>
      <c r="G881" s="665">
        <v>6.3E-2</v>
      </c>
      <c r="H881" s="665">
        <v>4.4999999999999998E-2</v>
      </c>
    </row>
    <row r="882" spans="2:8" ht="15.5">
      <c r="B882" s="207" t="s">
        <v>625</v>
      </c>
      <c r="C882" s="200">
        <v>1.9E-2</v>
      </c>
      <c r="D882" s="666">
        <v>1.9E-2</v>
      </c>
      <c r="E882" s="666">
        <v>4.7E-2</v>
      </c>
      <c r="F882" s="666">
        <v>7.0999999999999994E-2</v>
      </c>
      <c r="G882" s="667">
        <v>6.3E-2</v>
      </c>
      <c r="H882" s="667">
        <v>4.2000000000000003E-2</v>
      </c>
    </row>
    <row r="883" spans="2:8" ht="15.5">
      <c r="B883" s="207" t="s">
        <v>626</v>
      </c>
      <c r="C883" s="200">
        <v>0.03</v>
      </c>
      <c r="D883" s="666">
        <v>1.6E-2</v>
      </c>
      <c r="E883" s="666">
        <v>5.5E-2</v>
      </c>
      <c r="F883" s="666">
        <v>8.3000000000000004E-2</v>
      </c>
      <c r="G883" s="667">
        <v>5.5E-2</v>
      </c>
      <c r="H883" s="667">
        <v>4.7E-2</v>
      </c>
    </row>
    <row r="884" spans="2:8" ht="14">
      <c r="B884" s="133" t="s">
        <v>419</v>
      </c>
    </row>
    <row r="885" spans="2:8" ht="14">
      <c r="B885" s="174" t="s">
        <v>314</v>
      </c>
    </row>
    <row r="886" spans="2:8" ht="15.5">
      <c r="B886" s="18" t="s">
        <v>105</v>
      </c>
      <c r="C886" s="27"/>
    </row>
    <row r="887" spans="2:8" ht="15.5">
      <c r="B887" s="170" t="s">
        <v>314</v>
      </c>
    </row>
    <row r="888" spans="2:8" ht="15.5">
      <c r="B888" s="27" t="s">
        <v>106</v>
      </c>
    </row>
    <row r="889" spans="2:8" ht="15.5">
      <c r="B889" s="95" t="s">
        <v>376</v>
      </c>
      <c r="C889" s="71">
        <v>2017</v>
      </c>
      <c r="D889" s="71">
        <v>2018</v>
      </c>
      <c r="E889" s="71">
        <v>2019</v>
      </c>
      <c r="F889" s="71">
        <v>2021</v>
      </c>
      <c r="G889" s="71">
        <v>2022</v>
      </c>
      <c r="H889" s="71">
        <v>2023</v>
      </c>
    </row>
    <row r="890" spans="2:8" ht="15.5">
      <c r="B890" s="96" t="s">
        <v>946</v>
      </c>
      <c r="C890" s="97">
        <v>228048</v>
      </c>
      <c r="D890" s="97">
        <v>248047</v>
      </c>
      <c r="E890" s="97">
        <v>278456</v>
      </c>
      <c r="F890" s="97">
        <v>250453</v>
      </c>
      <c r="G890" s="97">
        <v>227401</v>
      </c>
      <c r="H890" s="97">
        <v>201669</v>
      </c>
    </row>
    <row r="891" spans="2:8" ht="15.5">
      <c r="B891" s="76" t="s">
        <v>625</v>
      </c>
      <c r="C891" s="35">
        <v>102442</v>
      </c>
      <c r="D891" s="35">
        <v>112766</v>
      </c>
      <c r="E891" s="35">
        <v>127646</v>
      </c>
      <c r="F891" s="35">
        <v>114259</v>
      </c>
      <c r="G891" s="35">
        <v>102293</v>
      </c>
      <c r="H891" s="35">
        <v>90420</v>
      </c>
    </row>
    <row r="892" spans="2:8" ht="15.5">
      <c r="B892" s="76" t="s">
        <v>626</v>
      </c>
      <c r="C892" s="35">
        <v>125606</v>
      </c>
      <c r="D892" s="35">
        <v>135281</v>
      </c>
      <c r="E892" s="35">
        <v>150810</v>
      </c>
      <c r="F892" s="35">
        <v>136194</v>
      </c>
      <c r="G892" s="35">
        <v>125108</v>
      </c>
      <c r="H892" s="35">
        <v>111249</v>
      </c>
    </row>
    <row r="893" spans="2:8" ht="15.5">
      <c r="B893" s="96" t="s">
        <v>947</v>
      </c>
      <c r="C893" s="97">
        <v>196873</v>
      </c>
      <c r="D893" s="97">
        <v>201267</v>
      </c>
      <c r="E893" s="97">
        <v>227264</v>
      </c>
      <c r="F893" s="97">
        <v>207315</v>
      </c>
      <c r="G893" s="97">
        <v>206289</v>
      </c>
      <c r="H893" s="97">
        <v>183612</v>
      </c>
    </row>
    <row r="894" spans="2:8" ht="15.5">
      <c r="B894" s="76" t="s">
        <v>625</v>
      </c>
      <c r="C894" s="35">
        <v>87544</v>
      </c>
      <c r="D894" s="35">
        <v>90045</v>
      </c>
      <c r="E894" s="35">
        <v>101710</v>
      </c>
      <c r="F894" s="35">
        <v>92428</v>
      </c>
      <c r="G894" s="35">
        <v>92040</v>
      </c>
      <c r="H894" s="35">
        <v>82120</v>
      </c>
    </row>
    <row r="895" spans="2:8" ht="15.5">
      <c r="B895" s="76" t="s">
        <v>626</v>
      </c>
      <c r="C895" s="35">
        <v>109329</v>
      </c>
      <c r="D895" s="35">
        <v>111222</v>
      </c>
      <c r="E895" s="35">
        <v>125554</v>
      </c>
      <c r="F895" s="35">
        <v>114887</v>
      </c>
      <c r="G895" s="35">
        <v>114249</v>
      </c>
      <c r="H895" s="35">
        <v>101492</v>
      </c>
    </row>
    <row r="896" spans="2:8" ht="15.5">
      <c r="B896" s="96" t="s">
        <v>948</v>
      </c>
      <c r="C896" s="208">
        <v>0.86299999999999999</v>
      </c>
      <c r="D896" s="208">
        <v>0.81100000000000005</v>
      </c>
      <c r="E896" s="208">
        <v>0.81599999999999995</v>
      </c>
      <c r="F896" s="208">
        <v>0.82799999999999996</v>
      </c>
      <c r="G896" s="208">
        <v>0.90700000000000003</v>
      </c>
      <c r="H896" s="208">
        <v>0.91</v>
      </c>
    </row>
    <row r="897" spans="2:8" ht="15.5">
      <c r="B897" s="76" t="s">
        <v>625</v>
      </c>
      <c r="C897" s="110">
        <v>0.85499999999999998</v>
      </c>
      <c r="D897" s="110">
        <v>0.79900000000000004</v>
      </c>
      <c r="E897" s="110">
        <v>0.79700000000000004</v>
      </c>
      <c r="F897" s="110">
        <v>0.80900000000000005</v>
      </c>
      <c r="G897" s="110">
        <v>0.9</v>
      </c>
      <c r="H897" s="110">
        <v>0.90800000000000003</v>
      </c>
    </row>
    <row r="898" spans="2:8" ht="15.5">
      <c r="B898" s="76" t="s">
        <v>626</v>
      </c>
      <c r="C898" s="110">
        <v>0.87</v>
      </c>
      <c r="D898" s="110">
        <v>0.82199999999999995</v>
      </c>
      <c r="E898" s="110">
        <v>0.83299999999999996</v>
      </c>
      <c r="F898" s="110">
        <v>0.84399999999999997</v>
      </c>
      <c r="G898" s="110">
        <v>0.91300000000000003</v>
      </c>
      <c r="H898" s="110">
        <v>0.91200000000000003</v>
      </c>
    </row>
    <row r="899" spans="2:8" ht="14">
      <c r="B899" s="133" t="s">
        <v>419</v>
      </c>
    </row>
    <row r="901" spans="2:8" ht="15.5">
      <c r="B901" s="27" t="s">
        <v>949</v>
      </c>
    </row>
    <row r="902" spans="2:8" ht="15.5">
      <c r="B902" s="95" t="s">
        <v>376</v>
      </c>
      <c r="C902" s="71">
        <v>2017</v>
      </c>
      <c r="D902" s="71">
        <v>2018</v>
      </c>
      <c r="E902" s="71">
        <v>2019</v>
      </c>
      <c r="F902" s="71">
        <v>2021</v>
      </c>
      <c r="G902" s="71">
        <v>2022</v>
      </c>
      <c r="H902" s="71">
        <v>2023</v>
      </c>
    </row>
    <row r="903" spans="2:8" ht="15.5">
      <c r="B903" s="96" t="s">
        <v>946</v>
      </c>
      <c r="C903" s="97">
        <v>96628</v>
      </c>
      <c r="D903" s="97">
        <v>98492</v>
      </c>
      <c r="E903" s="97">
        <v>114424</v>
      </c>
      <c r="F903" s="97">
        <v>121337</v>
      </c>
      <c r="G903" s="97">
        <v>126950</v>
      </c>
      <c r="H903" s="97">
        <v>131050</v>
      </c>
    </row>
    <row r="904" spans="2:8" ht="15.5">
      <c r="B904" s="76" t="s">
        <v>625</v>
      </c>
      <c r="C904" s="35">
        <v>45278</v>
      </c>
      <c r="D904" s="35">
        <v>46029</v>
      </c>
      <c r="E904" s="35">
        <v>52215</v>
      </c>
      <c r="F904" s="35">
        <v>55253</v>
      </c>
      <c r="G904" s="35">
        <v>56633</v>
      </c>
      <c r="H904" s="35">
        <v>57786</v>
      </c>
    </row>
    <row r="905" spans="2:8" ht="15.5">
      <c r="B905" s="76" t="s">
        <v>626</v>
      </c>
      <c r="C905" s="35">
        <v>51317</v>
      </c>
      <c r="D905" s="35">
        <v>52463</v>
      </c>
      <c r="E905" s="35">
        <v>62209</v>
      </c>
      <c r="F905" s="35">
        <v>66084</v>
      </c>
      <c r="G905" s="35">
        <v>70317</v>
      </c>
      <c r="H905" s="35">
        <v>73264</v>
      </c>
    </row>
    <row r="906" spans="2:8" ht="15.5">
      <c r="B906" s="96" t="s">
        <v>947</v>
      </c>
      <c r="C906" s="97">
        <v>86837</v>
      </c>
      <c r="D906" s="97">
        <v>81998</v>
      </c>
      <c r="E906" s="97">
        <v>99120</v>
      </c>
      <c r="F906" s="97">
        <v>104871</v>
      </c>
      <c r="G906" s="97">
        <v>108568</v>
      </c>
      <c r="H906" s="97">
        <v>113893</v>
      </c>
    </row>
    <row r="907" spans="2:8" ht="15.5">
      <c r="B907" s="76" t="s">
        <v>625</v>
      </c>
      <c r="C907" s="35">
        <v>41639</v>
      </c>
      <c r="D907" s="35">
        <v>39443</v>
      </c>
      <c r="E907" s="35">
        <v>46314</v>
      </c>
      <c r="F907" s="35">
        <v>48514</v>
      </c>
      <c r="G907" s="35">
        <v>49802</v>
      </c>
      <c r="H907" s="35">
        <v>52084</v>
      </c>
    </row>
    <row r="908" spans="2:8" ht="15.5">
      <c r="B908" s="76" t="s">
        <v>626</v>
      </c>
      <c r="C908" s="35">
        <v>45198</v>
      </c>
      <c r="D908" s="35">
        <v>42555</v>
      </c>
      <c r="E908" s="35">
        <v>52806</v>
      </c>
      <c r="F908" s="35">
        <v>56357</v>
      </c>
      <c r="G908" s="35">
        <v>58766</v>
      </c>
      <c r="H908" s="35">
        <v>61809</v>
      </c>
    </row>
    <row r="909" spans="2:8" ht="15.5">
      <c r="B909" s="96" t="s">
        <v>950</v>
      </c>
      <c r="C909" s="208">
        <v>0.89900000000000002</v>
      </c>
      <c r="D909" s="208">
        <v>0.83299999999999996</v>
      </c>
      <c r="E909" s="208">
        <v>0.86599999999999999</v>
      </c>
      <c r="F909" s="208">
        <v>0.86399999999999999</v>
      </c>
      <c r="G909" s="208">
        <v>0.85499999999999998</v>
      </c>
      <c r="H909" s="208">
        <v>0.86899999999999999</v>
      </c>
    </row>
    <row r="910" spans="2:8" ht="15.5">
      <c r="B910" s="76" t="s">
        <v>625</v>
      </c>
      <c r="C910" s="110">
        <v>0.92</v>
      </c>
      <c r="D910" s="110">
        <v>0.85699999999999998</v>
      </c>
      <c r="E910" s="110">
        <v>0.88700000000000001</v>
      </c>
      <c r="F910" s="110">
        <v>0.878</v>
      </c>
      <c r="G910" s="110">
        <v>0.879</v>
      </c>
      <c r="H910" s="110">
        <v>0.90100000000000002</v>
      </c>
    </row>
    <row r="911" spans="2:8" ht="15.5">
      <c r="B911" s="76" t="s">
        <v>626</v>
      </c>
      <c r="C911" s="110">
        <v>0.88100000000000001</v>
      </c>
      <c r="D911" s="110">
        <v>0.81100000000000005</v>
      </c>
      <c r="E911" s="110">
        <v>0.84899999999999998</v>
      </c>
      <c r="F911" s="110">
        <v>0.85299999999999998</v>
      </c>
      <c r="G911" s="110">
        <v>0.83599999999999997</v>
      </c>
      <c r="H911" s="110">
        <v>0.84399999999999997</v>
      </c>
    </row>
    <row r="912" spans="2:8" ht="14">
      <c r="B912" s="133" t="s">
        <v>419</v>
      </c>
    </row>
    <row r="914" spans="2:8" ht="15.5">
      <c r="B914" s="49" t="s">
        <v>951</v>
      </c>
      <c r="C914"/>
      <c r="D914"/>
      <c r="E914"/>
      <c r="F914"/>
      <c r="G914"/>
    </row>
    <row r="915" spans="2:8" ht="15.5">
      <c r="B915" s="95" t="s">
        <v>376</v>
      </c>
      <c r="C915" s="71">
        <v>2017</v>
      </c>
      <c r="D915" s="71">
        <v>2018</v>
      </c>
      <c r="E915" s="71">
        <v>2019</v>
      </c>
      <c r="F915" s="71">
        <v>2021</v>
      </c>
      <c r="G915" s="71">
        <v>2022</v>
      </c>
      <c r="H915" s="71">
        <v>2023</v>
      </c>
    </row>
    <row r="916" spans="2:8" ht="15.5">
      <c r="B916" s="96" t="s">
        <v>946</v>
      </c>
      <c r="C916" s="97">
        <v>66250</v>
      </c>
      <c r="D916" s="97">
        <v>68725</v>
      </c>
      <c r="E916" s="97">
        <v>70218</v>
      </c>
      <c r="F916" s="97">
        <v>72372</v>
      </c>
      <c r="G916" s="97">
        <v>71320</v>
      </c>
      <c r="H916" s="97">
        <v>80602</v>
      </c>
    </row>
    <row r="917" spans="2:8" ht="15.5">
      <c r="B917" s="76" t="s">
        <v>625</v>
      </c>
      <c r="C917" s="35">
        <v>31700</v>
      </c>
      <c r="D917" s="35">
        <v>32942</v>
      </c>
      <c r="E917" s="35">
        <v>33048</v>
      </c>
      <c r="F917" s="35">
        <v>34402</v>
      </c>
      <c r="G917" s="35">
        <v>34027</v>
      </c>
      <c r="H917" s="35">
        <v>38105</v>
      </c>
    </row>
    <row r="918" spans="2:8" ht="15.5">
      <c r="B918" s="76" t="s">
        <v>626</v>
      </c>
      <c r="C918" s="35">
        <v>34163</v>
      </c>
      <c r="D918" s="35">
        <v>35783</v>
      </c>
      <c r="E918" s="35">
        <v>37170</v>
      </c>
      <c r="F918" s="35">
        <v>37970</v>
      </c>
      <c r="G918" s="35">
        <v>37293</v>
      </c>
      <c r="H918" s="35">
        <v>42497</v>
      </c>
    </row>
    <row r="919" spans="2:8" ht="15.5">
      <c r="B919" s="96" t="s">
        <v>947</v>
      </c>
      <c r="C919" s="97">
        <v>59200</v>
      </c>
      <c r="D919" s="97">
        <v>61758</v>
      </c>
      <c r="E919" s="97">
        <v>63583</v>
      </c>
      <c r="F919" s="97">
        <v>66692</v>
      </c>
      <c r="G919" s="97">
        <v>68476</v>
      </c>
      <c r="H919" s="97">
        <v>77523</v>
      </c>
    </row>
    <row r="920" spans="2:8" ht="15.5">
      <c r="B920" s="76" t="s">
        <v>625</v>
      </c>
      <c r="C920" s="35">
        <v>29294</v>
      </c>
      <c r="D920" s="35">
        <v>30819</v>
      </c>
      <c r="E920" s="35">
        <v>31118</v>
      </c>
      <c r="F920" s="35">
        <v>32616</v>
      </c>
      <c r="G920" s="35">
        <v>33164</v>
      </c>
      <c r="H920" s="35">
        <v>37103</v>
      </c>
    </row>
    <row r="921" spans="2:8" ht="15.5">
      <c r="B921" s="76" t="s">
        <v>626</v>
      </c>
      <c r="C921" s="35">
        <v>29906</v>
      </c>
      <c r="D921" s="35">
        <v>30939</v>
      </c>
      <c r="E921" s="35">
        <v>32465</v>
      </c>
      <c r="F921" s="35">
        <v>34076</v>
      </c>
      <c r="G921" s="35">
        <v>35312</v>
      </c>
      <c r="H921" s="35">
        <v>40420</v>
      </c>
    </row>
    <row r="922" spans="2:8" ht="15.5">
      <c r="B922" s="96" t="s">
        <v>950</v>
      </c>
      <c r="C922" s="208">
        <v>0.89400000000000002</v>
      </c>
      <c r="D922" s="208">
        <v>0.89900000000000002</v>
      </c>
      <c r="E922" s="208">
        <v>0.90600000000000003</v>
      </c>
      <c r="F922" s="208">
        <v>0.92200000000000004</v>
      </c>
      <c r="G922" s="208">
        <v>0.96</v>
      </c>
      <c r="H922" s="208">
        <v>0.96199999999999997</v>
      </c>
    </row>
    <row r="923" spans="2:8" ht="15.5">
      <c r="B923" s="76" t="s">
        <v>625</v>
      </c>
      <c r="C923" s="110">
        <v>0.92400000000000004</v>
      </c>
      <c r="D923" s="110">
        <v>0.93600000000000005</v>
      </c>
      <c r="E923" s="110">
        <v>0.94199999999999995</v>
      </c>
      <c r="F923" s="110">
        <v>0.94799999999999995</v>
      </c>
      <c r="G923" s="110">
        <v>0.97499999999999998</v>
      </c>
      <c r="H923" s="110">
        <v>0.97399999999999998</v>
      </c>
    </row>
    <row r="924" spans="2:8" ht="15.5">
      <c r="B924" s="76" t="s">
        <v>626</v>
      </c>
      <c r="C924" s="110">
        <v>0.875</v>
      </c>
      <c r="D924" s="110">
        <v>0.86499999999999999</v>
      </c>
      <c r="E924" s="110">
        <v>0.873</v>
      </c>
      <c r="F924" s="110">
        <v>0.89700000000000002</v>
      </c>
      <c r="G924" s="110">
        <v>0.94699999999999995</v>
      </c>
      <c r="H924" s="110">
        <v>0.95099999999999996</v>
      </c>
    </row>
    <row r="925" spans="2:8" ht="14">
      <c r="B925" s="133" t="s">
        <v>419</v>
      </c>
    </row>
    <row r="927" spans="2:8" ht="15.5">
      <c r="B927" s="49" t="s">
        <v>952</v>
      </c>
      <c r="C927"/>
      <c r="D927"/>
      <c r="E927"/>
      <c r="F927"/>
      <c r="G927"/>
    </row>
    <row r="928" spans="2:8" ht="15.5">
      <c r="B928" s="95" t="s">
        <v>376</v>
      </c>
      <c r="C928" s="71">
        <v>2017</v>
      </c>
      <c r="D928" s="71">
        <v>2018</v>
      </c>
      <c r="E928" s="71">
        <v>2019</v>
      </c>
      <c r="F928" s="71">
        <v>2021</v>
      </c>
      <c r="G928" s="71">
        <v>2022</v>
      </c>
      <c r="H928" s="71">
        <v>2023</v>
      </c>
    </row>
    <row r="929" spans="2:8" ht="15.5">
      <c r="B929" s="96" t="s">
        <v>946</v>
      </c>
      <c r="C929" s="97">
        <v>41140</v>
      </c>
      <c r="D929" s="97">
        <v>42824</v>
      </c>
      <c r="E929" s="97">
        <v>46927</v>
      </c>
      <c r="F929" s="97">
        <v>46861</v>
      </c>
      <c r="G929" s="97">
        <v>47348</v>
      </c>
      <c r="H929" s="97">
        <v>48494</v>
      </c>
    </row>
    <row r="930" spans="2:8" ht="15.5">
      <c r="B930" s="76" t="s">
        <v>625</v>
      </c>
      <c r="C930" s="35">
        <v>18324</v>
      </c>
      <c r="D930" s="35">
        <v>19667</v>
      </c>
      <c r="E930" s="35">
        <v>21260</v>
      </c>
      <c r="F930" s="35">
        <v>21217</v>
      </c>
      <c r="G930" s="35">
        <v>21532</v>
      </c>
      <c r="H930" s="35">
        <v>21211</v>
      </c>
    </row>
    <row r="931" spans="2:8" ht="15.5">
      <c r="B931" s="76" t="s">
        <v>626</v>
      </c>
      <c r="C931" s="35">
        <v>22429</v>
      </c>
      <c r="D931" s="35">
        <v>23157</v>
      </c>
      <c r="E931" s="35">
        <v>25667</v>
      </c>
      <c r="F931" s="35">
        <v>25644</v>
      </c>
      <c r="G931" s="35">
        <v>25816</v>
      </c>
      <c r="H931" s="35">
        <v>27283</v>
      </c>
    </row>
    <row r="932" spans="2:8" ht="15.5">
      <c r="B932" s="96" t="s">
        <v>947</v>
      </c>
      <c r="C932" s="97">
        <v>36493</v>
      </c>
      <c r="D932" s="97">
        <v>37256</v>
      </c>
      <c r="E932" s="97">
        <v>42049</v>
      </c>
      <c r="F932" s="97">
        <v>41944</v>
      </c>
      <c r="G932" s="97">
        <v>44818</v>
      </c>
      <c r="H932" s="97">
        <v>46050</v>
      </c>
    </row>
    <row r="933" spans="2:8" ht="15.5">
      <c r="B933" s="76" t="s">
        <v>625</v>
      </c>
      <c r="C933" s="35">
        <v>17072</v>
      </c>
      <c r="D933" s="35">
        <v>18073</v>
      </c>
      <c r="E933" s="35">
        <v>19831</v>
      </c>
      <c r="F933" s="35">
        <v>19774</v>
      </c>
      <c r="G933" s="35">
        <v>20840</v>
      </c>
      <c r="H933" s="35">
        <v>20531</v>
      </c>
    </row>
    <row r="934" spans="2:8" ht="15.5">
      <c r="B934" s="76" t="s">
        <v>626</v>
      </c>
      <c r="C934" s="35">
        <v>19421</v>
      </c>
      <c r="D934" s="35">
        <v>19183</v>
      </c>
      <c r="E934" s="35">
        <v>22218</v>
      </c>
      <c r="F934" s="35">
        <v>22170</v>
      </c>
      <c r="G934" s="35">
        <v>23978</v>
      </c>
      <c r="H934" s="35">
        <v>25519</v>
      </c>
    </row>
    <row r="935" spans="2:8" ht="15.5">
      <c r="B935" s="96" t="s">
        <v>948</v>
      </c>
      <c r="C935" s="208">
        <v>0.88700000000000001</v>
      </c>
      <c r="D935" s="208">
        <v>0.87</v>
      </c>
      <c r="E935" s="208">
        <v>0.89600000000000002</v>
      </c>
      <c r="F935" s="208">
        <v>0.89500000000000002</v>
      </c>
      <c r="G935" s="208">
        <v>0.94699999999999995</v>
      </c>
      <c r="H935" s="208">
        <v>0.95</v>
      </c>
    </row>
    <row r="936" spans="2:8" ht="15.5">
      <c r="B936" s="76" t="s">
        <v>625</v>
      </c>
      <c r="C936" s="110">
        <v>0.93200000000000005</v>
      </c>
      <c r="D936" s="110">
        <v>0.91900000000000004</v>
      </c>
      <c r="E936" s="110">
        <v>0.93300000000000005</v>
      </c>
      <c r="F936" s="110">
        <v>0.93200000000000005</v>
      </c>
      <c r="G936" s="110">
        <v>0.96799999999999997</v>
      </c>
      <c r="H936" s="110">
        <v>0.96799999999999997</v>
      </c>
    </row>
    <row r="937" spans="2:8" ht="15.5">
      <c r="B937" s="76" t="s">
        <v>626</v>
      </c>
      <c r="C937" s="110">
        <v>0.86599999999999999</v>
      </c>
      <c r="D937" s="110">
        <v>0.82799999999999996</v>
      </c>
      <c r="E937" s="110">
        <v>0.86599999999999999</v>
      </c>
      <c r="F937" s="110">
        <v>0.86499999999999999</v>
      </c>
      <c r="G937" s="110">
        <v>0.92900000000000005</v>
      </c>
      <c r="H937" s="110">
        <v>0.93500000000000005</v>
      </c>
    </row>
    <row r="938" spans="2:8" ht="14.5">
      <c r="B938" s="156" t="s">
        <v>675</v>
      </c>
      <c r="C938"/>
      <c r="D938"/>
      <c r="E938"/>
      <c r="F938"/>
      <c r="G938"/>
    </row>
    <row r="939" spans="2:8" ht="14.5">
      <c r="B939" s="87"/>
      <c r="C939"/>
      <c r="D939"/>
      <c r="E939"/>
      <c r="F939"/>
      <c r="G939"/>
    </row>
    <row r="940" spans="2:8" ht="15.5">
      <c r="B940" s="49" t="s">
        <v>953</v>
      </c>
      <c r="C940"/>
      <c r="D940"/>
      <c r="E940"/>
      <c r="F940"/>
      <c r="G940"/>
    </row>
    <row r="941" spans="2:8" ht="15.5">
      <c r="B941" s="95" t="s">
        <v>376</v>
      </c>
      <c r="C941" s="71">
        <v>2017</v>
      </c>
      <c r="D941" s="71">
        <v>2018</v>
      </c>
      <c r="E941" s="71">
        <v>2019</v>
      </c>
      <c r="F941" s="71">
        <v>2021</v>
      </c>
      <c r="G941" s="71">
        <v>2022</v>
      </c>
      <c r="H941" s="71">
        <v>2023</v>
      </c>
    </row>
    <row r="942" spans="2:8" ht="15.5">
      <c r="B942" s="96" t="s">
        <v>946</v>
      </c>
      <c r="C942" s="97">
        <v>3009</v>
      </c>
      <c r="D942" s="97">
        <v>4054</v>
      </c>
      <c r="E942" s="97">
        <v>4060</v>
      </c>
      <c r="F942" s="97">
        <v>2988</v>
      </c>
      <c r="G942" s="97">
        <v>2893</v>
      </c>
      <c r="H942" s="97">
        <v>3998</v>
      </c>
    </row>
    <row r="943" spans="2:8" ht="15.5">
      <c r="B943" s="76" t="s">
        <v>625</v>
      </c>
      <c r="C943" s="35">
        <v>1256</v>
      </c>
      <c r="D943" s="35">
        <v>1556</v>
      </c>
      <c r="E943" s="35">
        <v>1606</v>
      </c>
      <c r="F943" s="35">
        <v>1029</v>
      </c>
      <c r="G943" s="35">
        <v>1145</v>
      </c>
      <c r="H943" s="35">
        <v>1712</v>
      </c>
    </row>
    <row r="944" spans="2:8" ht="15.5">
      <c r="B944" s="76" t="s">
        <v>626</v>
      </c>
      <c r="C944" s="35">
        <v>1753</v>
      </c>
      <c r="D944" s="35">
        <v>2498</v>
      </c>
      <c r="E944" s="35">
        <v>2454</v>
      </c>
      <c r="F944" s="35">
        <v>1959</v>
      </c>
      <c r="G944" s="35">
        <v>1748</v>
      </c>
      <c r="H944" s="35">
        <v>2286</v>
      </c>
    </row>
    <row r="945" spans="2:8" ht="15.5">
      <c r="B945" s="96" t="s">
        <v>947</v>
      </c>
      <c r="C945" s="97">
        <v>2987</v>
      </c>
      <c r="D945" s="97">
        <v>3867</v>
      </c>
      <c r="E945" s="97">
        <v>3975</v>
      </c>
      <c r="F945" s="97">
        <v>2980</v>
      </c>
      <c r="G945" s="97">
        <v>2892</v>
      </c>
      <c r="H945" s="97">
        <v>3989</v>
      </c>
    </row>
    <row r="946" spans="2:8" ht="15.5">
      <c r="B946" s="76" t="s">
        <v>625</v>
      </c>
      <c r="C946" s="35">
        <v>1249</v>
      </c>
      <c r="D946" s="35">
        <v>1506</v>
      </c>
      <c r="E946" s="35">
        <v>1589</v>
      </c>
      <c r="F946" s="35">
        <v>1026</v>
      </c>
      <c r="G946" s="35">
        <v>1144</v>
      </c>
      <c r="H946" s="35">
        <v>1709</v>
      </c>
    </row>
    <row r="947" spans="2:8" ht="15.5">
      <c r="B947" s="76" t="s">
        <v>626</v>
      </c>
      <c r="C947" s="35">
        <v>1738</v>
      </c>
      <c r="D947" s="35">
        <v>2361</v>
      </c>
      <c r="E947" s="35">
        <v>2386</v>
      </c>
      <c r="F947" s="35">
        <v>1954</v>
      </c>
      <c r="G947" s="35">
        <v>1748</v>
      </c>
      <c r="H947" s="35">
        <v>2280</v>
      </c>
    </row>
    <row r="948" spans="2:8" ht="15.5">
      <c r="B948" s="96" t="s">
        <v>950</v>
      </c>
      <c r="C948" s="208">
        <v>0.99299999999999999</v>
      </c>
      <c r="D948" s="208">
        <v>0.95399999999999996</v>
      </c>
      <c r="E948" s="208">
        <v>0.97899999999999998</v>
      </c>
      <c r="F948" s="208">
        <v>0.997</v>
      </c>
      <c r="G948" s="208">
        <v>1</v>
      </c>
      <c r="H948" s="208">
        <v>0.998</v>
      </c>
    </row>
    <row r="949" spans="2:8" ht="15.5">
      <c r="B949" s="76" t="s">
        <v>625</v>
      </c>
      <c r="C949" s="110">
        <v>0.99399999999999999</v>
      </c>
      <c r="D949" s="110">
        <v>0.96799999999999997</v>
      </c>
      <c r="E949" s="110">
        <v>0.98899999999999999</v>
      </c>
      <c r="F949" s="110">
        <v>0.997</v>
      </c>
      <c r="G949" s="110">
        <v>0.999</v>
      </c>
      <c r="H949" s="110">
        <v>0.998</v>
      </c>
    </row>
    <row r="950" spans="2:8" ht="15.5">
      <c r="B950" s="76" t="s">
        <v>626</v>
      </c>
      <c r="C950" s="110">
        <v>0.99099999999999999</v>
      </c>
      <c r="D950" s="110">
        <v>0.94499999999999995</v>
      </c>
      <c r="E950" s="110">
        <v>0.97199999999999998</v>
      </c>
      <c r="F950" s="110">
        <v>0.997</v>
      </c>
      <c r="G950" s="110">
        <v>1</v>
      </c>
      <c r="H950" s="110">
        <v>0.997</v>
      </c>
    </row>
    <row r="951" spans="2:8" ht="14">
      <c r="B951" s="133" t="s">
        <v>419</v>
      </c>
    </row>
    <row r="953" spans="2:8" ht="15.5">
      <c r="B953" s="49" t="s">
        <v>954</v>
      </c>
      <c r="C953"/>
      <c r="D953"/>
      <c r="E953"/>
      <c r="F953"/>
      <c r="G953"/>
    </row>
    <row r="954" spans="2:8" ht="15.5">
      <c r="B954" s="95" t="s">
        <v>376</v>
      </c>
      <c r="C954" s="71">
        <v>2017</v>
      </c>
      <c r="D954" s="71">
        <v>2018</v>
      </c>
      <c r="E954" s="71">
        <v>2019</v>
      </c>
      <c r="F954" s="71">
        <v>2021</v>
      </c>
      <c r="G954" s="71">
        <v>2022</v>
      </c>
      <c r="H954" s="71">
        <v>2023</v>
      </c>
    </row>
    <row r="955" spans="2:8" ht="15.5">
      <c r="B955" s="96" t="s">
        <v>946</v>
      </c>
      <c r="C955" s="97">
        <v>22101</v>
      </c>
      <c r="D955" s="97">
        <v>21847</v>
      </c>
      <c r="E955" s="97">
        <v>19231</v>
      </c>
      <c r="F955" s="97">
        <v>22523</v>
      </c>
      <c r="G955" s="97">
        <v>21079</v>
      </c>
      <c r="H955" s="97">
        <v>28110</v>
      </c>
    </row>
    <row r="956" spans="2:8" ht="15.5">
      <c r="B956" s="76" t="s">
        <v>625</v>
      </c>
      <c r="C956" s="35">
        <v>12120</v>
      </c>
      <c r="D956" s="35">
        <v>11719</v>
      </c>
      <c r="E956" s="35">
        <v>10182</v>
      </c>
      <c r="F956" s="35">
        <v>12156</v>
      </c>
      <c r="G956" s="35">
        <v>11350</v>
      </c>
      <c r="H956" s="35">
        <v>15182</v>
      </c>
    </row>
    <row r="957" spans="2:8" ht="15.5">
      <c r="B957" s="76" t="s">
        <v>626</v>
      </c>
      <c r="C957" s="35">
        <v>9981</v>
      </c>
      <c r="D957" s="35">
        <v>10128</v>
      </c>
      <c r="E957" s="35">
        <v>9049</v>
      </c>
      <c r="F957" s="35">
        <v>10367</v>
      </c>
      <c r="G957" s="35">
        <v>9729</v>
      </c>
      <c r="H957" s="35">
        <v>12928</v>
      </c>
    </row>
    <row r="958" spans="2:8" ht="15.5">
      <c r="B958" s="96" t="s">
        <v>947</v>
      </c>
      <c r="C958" s="97">
        <v>19720</v>
      </c>
      <c r="D958" s="97">
        <v>20635</v>
      </c>
      <c r="E958" s="97">
        <v>17559</v>
      </c>
      <c r="F958" s="97">
        <v>21768</v>
      </c>
      <c r="G958" s="97">
        <v>20766</v>
      </c>
      <c r="H958" s="97">
        <v>27484</v>
      </c>
    </row>
    <row r="959" spans="2:8" ht="15.5">
      <c r="B959" s="76" t="s">
        <v>625</v>
      </c>
      <c r="C959" s="35">
        <v>10973</v>
      </c>
      <c r="D959" s="35">
        <v>11240</v>
      </c>
      <c r="E959" s="35">
        <v>9698</v>
      </c>
      <c r="F959" s="35">
        <v>11816</v>
      </c>
      <c r="G959" s="35">
        <v>11180</v>
      </c>
      <c r="H959" s="35">
        <v>14863</v>
      </c>
    </row>
    <row r="960" spans="2:8" ht="15.5">
      <c r="B960" s="76" t="s">
        <v>626</v>
      </c>
      <c r="C960" s="35">
        <v>8747</v>
      </c>
      <c r="D960" s="35">
        <v>9395</v>
      </c>
      <c r="E960" s="35">
        <v>7861</v>
      </c>
      <c r="F960" s="35">
        <v>9952</v>
      </c>
      <c r="G960" s="35">
        <v>9586</v>
      </c>
      <c r="H960" s="35">
        <v>12621</v>
      </c>
    </row>
    <row r="961" spans="2:8" ht="15.5">
      <c r="B961" s="96" t="s">
        <v>948</v>
      </c>
      <c r="C961" s="208">
        <v>0.89200000000000002</v>
      </c>
      <c r="D961" s="208">
        <v>0.94499999999999995</v>
      </c>
      <c r="E961" s="208">
        <v>0.91300000000000003</v>
      </c>
      <c r="F961" s="208">
        <v>0.96599999999999997</v>
      </c>
      <c r="G961" s="208">
        <v>0.98499999999999999</v>
      </c>
      <c r="H961" s="208">
        <v>0.97799999999999998</v>
      </c>
    </row>
    <row r="962" spans="2:8" ht="15.5">
      <c r="B962" s="76" t="s">
        <v>625</v>
      </c>
      <c r="C962" s="110">
        <v>0.90500000000000003</v>
      </c>
      <c r="D962" s="110">
        <v>0.95899999999999996</v>
      </c>
      <c r="E962" s="110">
        <v>0.95199999999999996</v>
      </c>
      <c r="F962" s="110">
        <v>0.97199999999999998</v>
      </c>
      <c r="G962" s="110">
        <v>0.98499999999999999</v>
      </c>
      <c r="H962" s="110">
        <v>0.97899999999999998</v>
      </c>
    </row>
    <row r="963" spans="2:8" ht="15.5">
      <c r="B963" s="76" t="s">
        <v>626</v>
      </c>
      <c r="C963" s="110">
        <v>0.876</v>
      </c>
      <c r="D963" s="110">
        <v>0.92800000000000005</v>
      </c>
      <c r="E963" s="110">
        <v>0.86899999999999999</v>
      </c>
      <c r="F963" s="110">
        <v>0.96</v>
      </c>
      <c r="G963" s="110">
        <v>0.98499999999999999</v>
      </c>
      <c r="H963" s="110">
        <v>0.97599999999999998</v>
      </c>
    </row>
    <row r="964" spans="2:8" ht="14">
      <c r="B964" s="133" t="s">
        <v>936</v>
      </c>
    </row>
    <row r="965" spans="2:8" ht="15.5">
      <c r="B965" s="170" t="s">
        <v>314</v>
      </c>
    </row>
    <row r="966" spans="2:8" ht="15.5">
      <c r="B966" s="27" t="s">
        <v>112</v>
      </c>
    </row>
    <row r="967" spans="2:8" ht="15.5">
      <c r="B967" s="95" t="s">
        <v>421</v>
      </c>
      <c r="C967" s="71" t="s">
        <v>955</v>
      </c>
      <c r="D967" s="71" t="s">
        <v>422</v>
      </c>
      <c r="E967" s="71" t="s">
        <v>423</v>
      </c>
      <c r="F967" s="71" t="s">
        <v>941</v>
      </c>
      <c r="G967" s="71" t="s">
        <v>335</v>
      </c>
      <c r="H967" s="71" t="s">
        <v>256</v>
      </c>
    </row>
    <row r="968" spans="2:8" ht="15.5">
      <c r="B968" s="96" t="s">
        <v>956</v>
      </c>
      <c r="C968" s="97">
        <v>23635</v>
      </c>
      <c r="D968" s="97">
        <v>23100</v>
      </c>
      <c r="E968" s="97">
        <v>20533</v>
      </c>
      <c r="F968" s="97">
        <v>23246</v>
      </c>
      <c r="G968" s="97">
        <v>23355</v>
      </c>
      <c r="H968" s="524">
        <v>24136</v>
      </c>
    </row>
    <row r="969" spans="2:8" ht="15.5">
      <c r="B969" s="76" t="s">
        <v>625</v>
      </c>
      <c r="C969" s="35">
        <v>12774</v>
      </c>
      <c r="D969" s="35">
        <v>12718</v>
      </c>
      <c r="E969" s="35">
        <v>11354</v>
      </c>
      <c r="F969" s="35">
        <v>13043</v>
      </c>
      <c r="G969" s="35">
        <v>12897</v>
      </c>
      <c r="H969" s="525">
        <v>13382</v>
      </c>
    </row>
    <row r="970" spans="2:8" ht="15.5">
      <c r="B970" s="76" t="s">
        <v>626</v>
      </c>
      <c r="C970" s="35">
        <v>10861</v>
      </c>
      <c r="D970" s="35">
        <v>10382</v>
      </c>
      <c r="E970" s="35">
        <v>9179</v>
      </c>
      <c r="F970" s="35">
        <v>10203</v>
      </c>
      <c r="G970" s="35">
        <v>10458</v>
      </c>
      <c r="H970" s="525">
        <v>10754</v>
      </c>
    </row>
    <row r="971" spans="2:8" ht="15.5">
      <c r="B971" s="109" t="s">
        <v>728</v>
      </c>
      <c r="C971" s="110">
        <v>0.54</v>
      </c>
      <c r="D971" s="110">
        <v>0.55100000000000005</v>
      </c>
      <c r="E971" s="110">
        <v>0.55300000000000005</v>
      </c>
      <c r="F971" s="110">
        <v>0.56100000000000005</v>
      </c>
      <c r="G971" s="110">
        <v>0.55200000000000005</v>
      </c>
      <c r="H971" s="110">
        <v>0.55400000000000005</v>
      </c>
    </row>
    <row r="972" spans="2:8" ht="15.5">
      <c r="B972" s="109" t="s">
        <v>729</v>
      </c>
      <c r="C972" s="110">
        <v>0.46</v>
      </c>
      <c r="D972" s="110">
        <v>0.44900000000000001</v>
      </c>
      <c r="E972" s="110">
        <v>0.44700000000000001</v>
      </c>
      <c r="F972" s="110">
        <v>0.439</v>
      </c>
      <c r="G972" s="110">
        <v>0.44800000000000001</v>
      </c>
      <c r="H972" s="110">
        <v>0.44600000000000001</v>
      </c>
    </row>
    <row r="973" spans="2:8" ht="15.5">
      <c r="B973" s="96" t="s">
        <v>957</v>
      </c>
      <c r="C973" s="97">
        <v>10720</v>
      </c>
      <c r="D973" s="97">
        <v>11140</v>
      </c>
      <c r="E973" s="97">
        <v>9060</v>
      </c>
      <c r="F973" s="97">
        <v>12136</v>
      </c>
      <c r="G973" s="97">
        <v>9333</v>
      </c>
      <c r="H973" s="524">
        <v>11107</v>
      </c>
    </row>
    <row r="974" spans="2:8" ht="15.5">
      <c r="B974" s="76" t="s">
        <v>625</v>
      </c>
      <c r="C974" s="35">
        <v>7185</v>
      </c>
      <c r="D974" s="35">
        <v>7245</v>
      </c>
      <c r="E974" s="35">
        <v>6039</v>
      </c>
      <c r="F974" s="35">
        <v>7962</v>
      </c>
      <c r="G974" s="35">
        <v>6172</v>
      </c>
      <c r="H974" s="525">
        <v>7217</v>
      </c>
    </row>
    <row r="975" spans="2:8" ht="15.5">
      <c r="B975" s="76" t="s">
        <v>626</v>
      </c>
      <c r="C975" s="35">
        <v>3535</v>
      </c>
      <c r="D975" s="35">
        <v>3895</v>
      </c>
      <c r="E975" s="35">
        <v>3021</v>
      </c>
      <c r="F975" s="35">
        <v>4174</v>
      </c>
      <c r="G975" s="35">
        <v>3161</v>
      </c>
      <c r="H975" s="525">
        <v>3890</v>
      </c>
    </row>
    <row r="976" spans="2:8" ht="15.5">
      <c r="B976" s="109" t="s">
        <v>728</v>
      </c>
      <c r="C976" s="110">
        <v>0.67</v>
      </c>
      <c r="D976" s="110">
        <v>0.65</v>
      </c>
      <c r="E976" s="110">
        <v>0.66700000000000004</v>
      </c>
      <c r="F976" s="110">
        <v>0.65600000000000003</v>
      </c>
      <c r="G976" s="110">
        <v>0.66100000000000003</v>
      </c>
      <c r="H976" s="110">
        <v>0.65</v>
      </c>
    </row>
    <row r="977" spans="2:8" ht="15.5">
      <c r="B977" s="109" t="s">
        <v>729</v>
      </c>
      <c r="C977" s="110">
        <v>0.33</v>
      </c>
      <c r="D977" s="110">
        <v>0.35</v>
      </c>
      <c r="E977" s="110">
        <v>0.33300000000000002</v>
      </c>
      <c r="F977" s="110">
        <v>0.34399999999999997</v>
      </c>
      <c r="G977" s="110">
        <v>0.33900000000000002</v>
      </c>
      <c r="H977" s="110">
        <v>0.35</v>
      </c>
    </row>
    <row r="978" spans="2:8" ht="15.5">
      <c r="B978" s="96" t="s">
        <v>958</v>
      </c>
      <c r="C978" s="97">
        <v>12915</v>
      </c>
      <c r="D978" s="97">
        <v>11960</v>
      </c>
      <c r="E978" s="97">
        <v>11473</v>
      </c>
      <c r="F978" s="97">
        <v>11110</v>
      </c>
      <c r="G978" s="97">
        <v>14022</v>
      </c>
      <c r="H978" s="524">
        <v>13029</v>
      </c>
    </row>
    <row r="979" spans="2:8" ht="15.5">
      <c r="B979" s="76" t="s">
        <v>625</v>
      </c>
      <c r="C979" s="35">
        <v>5589</v>
      </c>
      <c r="D979" s="35">
        <v>5473</v>
      </c>
      <c r="E979" s="35">
        <v>5315</v>
      </c>
      <c r="F979" s="35">
        <v>5081</v>
      </c>
      <c r="G979" s="35">
        <v>6725</v>
      </c>
      <c r="H979" s="525">
        <v>6165</v>
      </c>
    </row>
    <row r="980" spans="2:8" ht="15.5">
      <c r="B980" s="76" t="s">
        <v>626</v>
      </c>
      <c r="C980" s="35">
        <v>7326</v>
      </c>
      <c r="D980" s="35">
        <v>6487</v>
      </c>
      <c r="E980" s="35">
        <v>6158</v>
      </c>
      <c r="F980" s="35">
        <v>6029</v>
      </c>
      <c r="G980" s="35">
        <v>7297</v>
      </c>
      <c r="H980" s="525">
        <v>6864</v>
      </c>
    </row>
    <row r="981" spans="2:8" ht="15.5">
      <c r="B981" s="109" t="s">
        <v>728</v>
      </c>
      <c r="C981" s="110">
        <v>0.433</v>
      </c>
      <c r="D981" s="110">
        <v>0.45800000000000002</v>
      </c>
      <c r="E981" s="110">
        <v>0.46300000000000002</v>
      </c>
      <c r="F981" s="110">
        <v>0.45700000000000002</v>
      </c>
      <c r="G981" s="110">
        <v>0.48</v>
      </c>
      <c r="H981" s="110">
        <v>0.47299999999999998</v>
      </c>
    </row>
    <row r="982" spans="2:8" ht="15.5">
      <c r="B982" s="109" t="s">
        <v>729</v>
      </c>
      <c r="C982" s="110">
        <v>0.56699999999999995</v>
      </c>
      <c r="D982" s="110">
        <v>0.54200000000000004</v>
      </c>
      <c r="E982" s="110">
        <v>0.53700000000000003</v>
      </c>
      <c r="F982" s="110">
        <v>0.54300000000000004</v>
      </c>
      <c r="G982" s="110">
        <v>0.52</v>
      </c>
      <c r="H982" s="110">
        <v>0.52700000000000002</v>
      </c>
    </row>
    <row r="983" spans="2:8" ht="14">
      <c r="B983" s="133" t="s">
        <v>936</v>
      </c>
    </row>
    <row r="985" spans="2:8" ht="15.5">
      <c r="B985" s="48" t="s">
        <v>959</v>
      </c>
      <c r="C985"/>
      <c r="D985"/>
      <c r="E985"/>
      <c r="F985"/>
      <c r="G985"/>
    </row>
    <row r="986" spans="2:8" ht="15.5">
      <c r="B986" s="95" t="s">
        <v>960</v>
      </c>
      <c r="C986" s="71" t="s">
        <v>955</v>
      </c>
      <c r="D986" s="71" t="s">
        <v>422</v>
      </c>
      <c r="E986" s="71" t="s">
        <v>423</v>
      </c>
      <c r="F986" s="71" t="s">
        <v>941</v>
      </c>
      <c r="G986" s="71" t="s">
        <v>335</v>
      </c>
      <c r="H986" s="71" t="s">
        <v>256</v>
      </c>
    </row>
    <row r="987" spans="2:8" ht="15.5">
      <c r="B987" s="96" t="s">
        <v>961</v>
      </c>
      <c r="C987" s="97">
        <v>2059</v>
      </c>
      <c r="D987" s="97">
        <v>2695</v>
      </c>
      <c r="E987" s="97">
        <v>2298</v>
      </c>
      <c r="F987" s="97">
        <v>4509</v>
      </c>
      <c r="G987" s="97">
        <v>4008</v>
      </c>
      <c r="H987" s="524">
        <v>4239</v>
      </c>
    </row>
    <row r="988" spans="2:8" ht="15.5">
      <c r="B988" s="76" t="s">
        <v>625</v>
      </c>
      <c r="C988" s="35">
        <v>1543</v>
      </c>
      <c r="D988" s="35">
        <v>2013</v>
      </c>
      <c r="E988" s="35">
        <v>1748</v>
      </c>
      <c r="F988" s="35">
        <v>2978</v>
      </c>
      <c r="G988" s="35">
        <v>2717</v>
      </c>
      <c r="H988" s="525">
        <v>2812</v>
      </c>
    </row>
    <row r="989" spans="2:8" ht="15.5">
      <c r="B989" s="76" t="s">
        <v>626</v>
      </c>
      <c r="C989" s="32">
        <v>516</v>
      </c>
      <c r="D989" s="32">
        <v>682</v>
      </c>
      <c r="E989" s="32">
        <v>550</v>
      </c>
      <c r="F989" s="32">
        <v>1531</v>
      </c>
      <c r="G989" s="35">
        <v>1291</v>
      </c>
      <c r="H989" s="525">
        <v>1427</v>
      </c>
    </row>
    <row r="990" spans="2:8" ht="15.5">
      <c r="B990" s="76" t="s">
        <v>728</v>
      </c>
      <c r="C990" s="110">
        <v>0.749</v>
      </c>
      <c r="D990" s="110">
        <v>0.747</v>
      </c>
      <c r="E990" s="110">
        <v>0.76100000000000001</v>
      </c>
      <c r="F990" s="110">
        <v>0.66</v>
      </c>
      <c r="G990" s="110">
        <v>0.67800000000000005</v>
      </c>
      <c r="H990" s="110">
        <v>0.66300000000000003</v>
      </c>
    </row>
    <row r="991" spans="2:8" ht="15.5">
      <c r="B991" s="76" t="s">
        <v>729</v>
      </c>
      <c r="C991" s="110">
        <v>0.251</v>
      </c>
      <c r="D991" s="110">
        <v>0.253</v>
      </c>
      <c r="E991" s="110">
        <v>0.23899999999999999</v>
      </c>
      <c r="F991" s="110">
        <v>0.34</v>
      </c>
      <c r="G991" s="110">
        <v>0.32200000000000001</v>
      </c>
      <c r="H991" s="110">
        <v>0.33700000000000002</v>
      </c>
    </row>
    <row r="992" spans="2:8" ht="15.5">
      <c r="B992" s="96" t="s">
        <v>962</v>
      </c>
      <c r="C992" s="97">
        <v>1819</v>
      </c>
      <c r="D992" s="97">
        <v>2314</v>
      </c>
      <c r="E992" s="97">
        <v>1549</v>
      </c>
      <c r="F992" s="97">
        <v>3228</v>
      </c>
      <c r="G992" s="97">
        <v>2895</v>
      </c>
      <c r="H992" s="524">
        <v>2786</v>
      </c>
    </row>
    <row r="993" spans="2:8" ht="15.5">
      <c r="B993" s="76" t="s">
        <v>625</v>
      </c>
      <c r="C993" s="35">
        <v>1477</v>
      </c>
      <c r="D993" s="35">
        <v>1812</v>
      </c>
      <c r="E993" s="35">
        <v>1264</v>
      </c>
      <c r="F993" s="35">
        <v>2399</v>
      </c>
      <c r="G993" s="35">
        <v>2204</v>
      </c>
      <c r="H993" s="525">
        <v>2154</v>
      </c>
    </row>
    <row r="994" spans="2:8" ht="15.5">
      <c r="B994" s="76" t="s">
        <v>626</v>
      </c>
      <c r="C994" s="32">
        <v>342</v>
      </c>
      <c r="D994" s="32">
        <v>502</v>
      </c>
      <c r="E994" s="32">
        <v>285</v>
      </c>
      <c r="F994" s="32">
        <v>829</v>
      </c>
      <c r="G994" s="32">
        <v>691</v>
      </c>
      <c r="H994" s="32">
        <v>632</v>
      </c>
    </row>
    <row r="995" spans="2:8" ht="15.5">
      <c r="B995" s="96" t="s">
        <v>958</v>
      </c>
      <c r="C995" s="107">
        <v>240</v>
      </c>
      <c r="D995" s="107">
        <v>381</v>
      </c>
      <c r="E995" s="107">
        <v>749</v>
      </c>
      <c r="F995" s="97">
        <v>1281</v>
      </c>
      <c r="G995" s="97">
        <v>1113</v>
      </c>
      <c r="H995" s="524">
        <v>1453</v>
      </c>
    </row>
    <row r="996" spans="2:8" ht="15.5">
      <c r="B996" s="76" t="s">
        <v>625</v>
      </c>
      <c r="C996" s="32">
        <v>66</v>
      </c>
      <c r="D996" s="32">
        <v>201</v>
      </c>
      <c r="E996" s="32">
        <v>484</v>
      </c>
      <c r="F996" s="32">
        <v>579</v>
      </c>
      <c r="G996" s="32">
        <v>513</v>
      </c>
      <c r="H996" s="32">
        <v>658</v>
      </c>
    </row>
    <row r="997" spans="2:8" ht="15.5">
      <c r="B997" s="76" t="s">
        <v>626</v>
      </c>
      <c r="C997" s="32">
        <v>174</v>
      </c>
      <c r="D997" s="32">
        <v>180</v>
      </c>
      <c r="E997" s="32">
        <v>265</v>
      </c>
      <c r="F997" s="32">
        <v>702</v>
      </c>
      <c r="G997" s="32">
        <v>600</v>
      </c>
      <c r="H997" s="32">
        <v>795</v>
      </c>
    </row>
    <row r="998" spans="2:8" ht="14.5">
      <c r="B998" s="50" t="s">
        <v>509</v>
      </c>
      <c r="C998"/>
      <c r="D998"/>
      <c r="E998"/>
      <c r="F998"/>
      <c r="G998"/>
    </row>
    <row r="1000" spans="2:8" ht="31">
      <c r="B1000" s="48" t="s">
        <v>963</v>
      </c>
      <c r="C1000"/>
      <c r="D1000"/>
      <c r="E1000"/>
      <c r="F1000"/>
      <c r="G1000"/>
    </row>
    <row r="1001" spans="2:8" ht="15.5">
      <c r="B1001" s="209" t="s">
        <v>640</v>
      </c>
      <c r="C1001" s="71" t="s">
        <v>955</v>
      </c>
      <c r="D1001" s="71" t="s">
        <v>422</v>
      </c>
      <c r="E1001" s="71" t="s">
        <v>423</v>
      </c>
      <c r="F1001" s="71" t="s">
        <v>941</v>
      </c>
      <c r="G1001" s="71" t="s">
        <v>335</v>
      </c>
      <c r="H1001" s="71" t="s">
        <v>256</v>
      </c>
    </row>
    <row r="1002" spans="2:8" ht="31">
      <c r="B1002" s="210" t="s">
        <v>964</v>
      </c>
      <c r="C1002" s="97">
        <v>21576</v>
      </c>
      <c r="D1002" s="97">
        <v>20405</v>
      </c>
      <c r="E1002" s="97">
        <v>18235</v>
      </c>
      <c r="F1002" s="97">
        <v>18737</v>
      </c>
      <c r="G1002" s="97">
        <v>19347</v>
      </c>
      <c r="H1002" s="524">
        <v>19897</v>
      </c>
    </row>
    <row r="1003" spans="2:8" ht="15.5">
      <c r="B1003" s="211" t="s">
        <v>625</v>
      </c>
      <c r="C1003" s="35">
        <v>11231</v>
      </c>
      <c r="D1003" s="35">
        <v>10705</v>
      </c>
      <c r="E1003" s="35">
        <v>9606</v>
      </c>
      <c r="F1003" s="35">
        <v>10065</v>
      </c>
      <c r="G1003" s="35">
        <v>10180</v>
      </c>
      <c r="H1003" s="525">
        <v>10570</v>
      </c>
    </row>
    <row r="1004" spans="2:8" ht="15.5">
      <c r="B1004" s="211" t="s">
        <v>626</v>
      </c>
      <c r="C1004" s="35">
        <v>10345</v>
      </c>
      <c r="D1004" s="35">
        <v>9700</v>
      </c>
      <c r="E1004" s="35">
        <v>8629</v>
      </c>
      <c r="F1004" s="35">
        <v>8672</v>
      </c>
      <c r="G1004" s="35">
        <v>9167</v>
      </c>
      <c r="H1004" s="525">
        <v>9327</v>
      </c>
    </row>
    <row r="1005" spans="2:8" ht="15.5">
      <c r="B1005" s="212" t="s">
        <v>728</v>
      </c>
      <c r="C1005" s="110">
        <v>0.52100000000000002</v>
      </c>
      <c r="D1005" s="110">
        <v>0.52500000000000002</v>
      </c>
      <c r="E1005" s="110">
        <v>0.52700000000000002</v>
      </c>
      <c r="F1005" s="110">
        <v>0.53700000000000003</v>
      </c>
      <c r="G1005" s="110">
        <v>0.52600000000000002</v>
      </c>
      <c r="H1005" s="110">
        <v>0.53100000000000003</v>
      </c>
    </row>
    <row r="1006" spans="2:8" ht="15.5">
      <c r="B1006" s="212" t="s">
        <v>729</v>
      </c>
      <c r="C1006" s="110">
        <v>0.47899999999999998</v>
      </c>
      <c r="D1006" s="110">
        <v>0.47499999999999998</v>
      </c>
      <c r="E1006" s="110">
        <v>0.47299999999999998</v>
      </c>
      <c r="F1006" s="110">
        <v>0.46300000000000002</v>
      </c>
      <c r="G1006" s="110">
        <v>0.47399999999999998</v>
      </c>
      <c r="H1006" s="110">
        <v>0.46899999999999997</v>
      </c>
    </row>
    <row r="1007" spans="2:8" ht="15.5">
      <c r="B1007" s="210" t="s">
        <v>965</v>
      </c>
      <c r="C1007" s="97">
        <v>8901</v>
      </c>
      <c r="D1007" s="97">
        <v>8826</v>
      </c>
      <c r="E1007" s="97">
        <v>7511</v>
      </c>
      <c r="F1007" s="97">
        <v>8908</v>
      </c>
      <c r="G1007" s="97">
        <v>6438</v>
      </c>
      <c r="H1007" s="524">
        <v>8321</v>
      </c>
    </row>
    <row r="1008" spans="2:8" ht="15.5">
      <c r="B1008" s="211" t="s">
        <v>625</v>
      </c>
      <c r="C1008" s="35">
        <v>5708</v>
      </c>
      <c r="D1008" s="35">
        <v>5433</v>
      </c>
      <c r="E1008" s="35">
        <v>4775</v>
      </c>
      <c r="F1008" s="35">
        <v>5563</v>
      </c>
      <c r="G1008" s="35">
        <v>3968</v>
      </c>
      <c r="H1008" s="525">
        <v>5063</v>
      </c>
    </row>
    <row r="1009" spans="2:9" ht="15.5">
      <c r="B1009" s="211" t="s">
        <v>626</v>
      </c>
      <c r="C1009" s="35">
        <v>3193</v>
      </c>
      <c r="D1009" s="35">
        <v>3393</v>
      </c>
      <c r="E1009" s="35">
        <v>2736</v>
      </c>
      <c r="F1009" s="35">
        <v>3345</v>
      </c>
      <c r="G1009" s="32">
        <v>2470</v>
      </c>
      <c r="H1009" s="32">
        <v>3258</v>
      </c>
    </row>
    <row r="1010" spans="2:9" ht="15.5">
      <c r="B1010" s="210" t="s">
        <v>958</v>
      </c>
      <c r="C1010" s="97">
        <v>12675</v>
      </c>
      <c r="D1010" s="97">
        <v>11579</v>
      </c>
      <c r="E1010" s="97">
        <v>10724</v>
      </c>
      <c r="F1010" s="97">
        <v>9829</v>
      </c>
      <c r="G1010" s="97">
        <v>12909</v>
      </c>
      <c r="H1010" s="524">
        <v>11576</v>
      </c>
    </row>
    <row r="1011" spans="2:9" ht="15.5">
      <c r="B1011" s="211" t="s">
        <v>625</v>
      </c>
      <c r="C1011" s="35">
        <v>5523</v>
      </c>
      <c r="D1011" s="35">
        <v>5272</v>
      </c>
      <c r="E1011" s="35">
        <v>4831</v>
      </c>
      <c r="F1011" s="35">
        <v>4502</v>
      </c>
      <c r="G1011" s="32">
        <v>6212</v>
      </c>
      <c r="H1011" s="32">
        <v>5507</v>
      </c>
    </row>
    <row r="1012" spans="2:9" ht="15.5">
      <c r="B1012" s="211" t="s">
        <v>626</v>
      </c>
      <c r="C1012" s="35">
        <v>7152</v>
      </c>
      <c r="D1012" s="35">
        <v>6307</v>
      </c>
      <c r="E1012" s="35">
        <v>5893</v>
      </c>
      <c r="F1012" s="35">
        <v>5327</v>
      </c>
      <c r="G1012" s="32">
        <v>6697</v>
      </c>
      <c r="H1012" s="32">
        <v>6069</v>
      </c>
    </row>
    <row r="1013" spans="2:9" ht="14.5">
      <c r="B1013" s="157" t="s">
        <v>509</v>
      </c>
      <c r="C1013"/>
      <c r="D1013"/>
      <c r="E1013"/>
      <c r="F1013"/>
      <c r="G1013"/>
    </row>
    <row r="1015" spans="2:9" ht="15.5">
      <c r="B1015" s="49" t="s">
        <v>966</v>
      </c>
      <c r="C1015"/>
      <c r="D1015"/>
      <c r="E1015"/>
      <c r="F1015"/>
      <c r="G1015"/>
      <c r="H1015" s="19"/>
    </row>
    <row r="1016" spans="2:9" ht="15.65" customHeight="1">
      <c r="B1016" s="868" t="s">
        <v>967</v>
      </c>
      <c r="C1016" s="858" t="s">
        <v>335</v>
      </c>
      <c r="D1016" s="858"/>
      <c r="E1016" s="859"/>
      <c r="F1016" s="864" t="s">
        <v>256</v>
      </c>
      <c r="G1016" s="864"/>
      <c r="H1016" s="864"/>
      <c r="I1016" s="393"/>
    </row>
    <row r="1017" spans="2:9" ht="15.5">
      <c r="B1017" s="868"/>
      <c r="C1017" s="213" t="s">
        <v>625</v>
      </c>
      <c r="D1017" s="213" t="s">
        <v>626</v>
      </c>
      <c r="E1017" s="391" t="s">
        <v>415</v>
      </c>
      <c r="F1017" s="398" t="s">
        <v>706</v>
      </c>
      <c r="G1017" s="398" t="s">
        <v>708</v>
      </c>
      <c r="H1017" s="669" t="s">
        <v>968</v>
      </c>
      <c r="I1017" s="394"/>
    </row>
    <row r="1018" spans="2:9" ht="15.5">
      <c r="B1018" s="76" t="s">
        <v>969</v>
      </c>
      <c r="C1018" s="32">
        <v>164</v>
      </c>
      <c r="D1018" s="214">
        <v>139</v>
      </c>
      <c r="E1018" s="399">
        <v>303</v>
      </c>
      <c r="F1018" s="32">
        <v>88</v>
      </c>
      <c r="G1018" s="214">
        <v>59</v>
      </c>
      <c r="H1018" s="214">
        <v>147</v>
      </c>
      <c r="I1018" s="394"/>
    </row>
    <row r="1019" spans="2:9" ht="15.5">
      <c r="B1019" s="76" t="s">
        <v>970</v>
      </c>
      <c r="C1019" s="32">
        <v>260</v>
      </c>
      <c r="D1019" s="214">
        <v>710</v>
      </c>
      <c r="E1019" s="399">
        <v>970</v>
      </c>
      <c r="F1019" s="32">
        <v>207</v>
      </c>
      <c r="G1019" s="214">
        <v>709</v>
      </c>
      <c r="H1019" s="214">
        <v>916</v>
      </c>
      <c r="I1019" s="394"/>
    </row>
    <row r="1020" spans="2:9" ht="15.5">
      <c r="B1020" s="76" t="s">
        <v>971</v>
      </c>
      <c r="C1020" s="35">
        <v>2699</v>
      </c>
      <c r="D1020" s="134">
        <v>1038</v>
      </c>
      <c r="E1020" s="400">
        <v>3737</v>
      </c>
      <c r="F1020" s="525">
        <v>2973</v>
      </c>
      <c r="G1020" s="134">
        <v>1193</v>
      </c>
      <c r="H1020" s="134">
        <v>4166</v>
      </c>
      <c r="I1020" s="396"/>
    </row>
    <row r="1021" spans="2:9" ht="15.5">
      <c r="B1021" s="76" t="s">
        <v>972</v>
      </c>
      <c r="C1021" s="35">
        <v>7669</v>
      </c>
      <c r="D1021" s="134">
        <v>7390</v>
      </c>
      <c r="E1021" s="400">
        <v>15059</v>
      </c>
      <c r="F1021" s="525">
        <v>8521</v>
      </c>
      <c r="G1021" s="134">
        <v>8029</v>
      </c>
      <c r="H1021" s="134">
        <v>16550</v>
      </c>
      <c r="I1021" s="396"/>
    </row>
    <row r="1022" spans="2:9" ht="15.5">
      <c r="B1022" s="76" t="s">
        <v>973</v>
      </c>
      <c r="C1022" s="32">
        <v>446</v>
      </c>
      <c r="D1022" s="214">
        <v>332</v>
      </c>
      <c r="E1022" s="399">
        <v>778</v>
      </c>
      <c r="F1022" s="32">
        <v>54</v>
      </c>
      <c r="G1022" s="214">
        <v>28</v>
      </c>
      <c r="H1022" s="214">
        <v>82</v>
      </c>
      <c r="I1022" s="395"/>
    </row>
    <row r="1023" spans="2:9" ht="15.5">
      <c r="B1023" s="76" t="s">
        <v>974</v>
      </c>
      <c r="C1023" s="32">
        <v>461</v>
      </c>
      <c r="D1023" s="214">
        <v>151</v>
      </c>
      <c r="E1023" s="399">
        <v>612</v>
      </c>
      <c r="F1023" s="32">
        <v>365</v>
      </c>
      <c r="G1023" s="214">
        <v>142</v>
      </c>
      <c r="H1023" s="214">
        <v>507</v>
      </c>
      <c r="I1023" s="395"/>
    </row>
    <row r="1024" spans="2:9" ht="15.5">
      <c r="B1024" s="76" t="s">
        <v>975</v>
      </c>
      <c r="C1024" s="35">
        <v>1179</v>
      </c>
      <c r="D1024" s="214">
        <v>692</v>
      </c>
      <c r="E1024" s="400">
        <v>1871</v>
      </c>
      <c r="F1024" s="525">
        <v>1149</v>
      </c>
      <c r="G1024" s="214">
        <v>581</v>
      </c>
      <c r="H1024" s="134">
        <v>1730</v>
      </c>
      <c r="I1024" s="396"/>
    </row>
    <row r="1025" spans="2:9" ht="15.5">
      <c r="B1025" s="76" t="s">
        <v>976</v>
      </c>
      <c r="C1025" s="32">
        <v>19</v>
      </c>
      <c r="D1025" s="214">
        <v>6</v>
      </c>
      <c r="E1025" s="399">
        <v>25</v>
      </c>
      <c r="F1025" s="32">
        <v>25</v>
      </c>
      <c r="G1025" s="214">
        <v>13</v>
      </c>
      <c r="H1025" s="214">
        <v>38</v>
      </c>
      <c r="I1025" s="395"/>
    </row>
    <row r="1026" spans="2:9" ht="15.5">
      <c r="B1026" s="96" t="s">
        <v>415</v>
      </c>
      <c r="C1026" s="97">
        <v>12897</v>
      </c>
      <c r="D1026" s="97">
        <v>10458</v>
      </c>
      <c r="E1026" s="392">
        <v>23355</v>
      </c>
      <c r="F1026" s="524">
        <v>13382</v>
      </c>
      <c r="G1026" s="524">
        <v>10754</v>
      </c>
      <c r="H1026" s="524">
        <v>24136</v>
      </c>
      <c r="I1026" s="397"/>
    </row>
    <row r="1027" spans="2:9" ht="14">
      <c r="B1027" s="133" t="s">
        <v>936</v>
      </c>
    </row>
    <row r="1029" spans="2:9" ht="15.5">
      <c r="B1029" s="27" t="s">
        <v>116</v>
      </c>
    </row>
    <row r="1030" spans="2:9" ht="15" customHeight="1">
      <c r="B1030" s="857" t="s">
        <v>977</v>
      </c>
      <c r="C1030" s="860" t="s">
        <v>335</v>
      </c>
      <c r="D1030" s="860"/>
      <c r="E1030" s="860"/>
      <c r="F1030" s="861" t="s">
        <v>256</v>
      </c>
      <c r="G1030" s="862"/>
      <c r="H1030" s="863"/>
    </row>
    <row r="1031" spans="2:9" ht="14">
      <c r="B1031" s="857"/>
      <c r="C1031" s="42" t="s">
        <v>625</v>
      </c>
      <c r="D1031" s="42" t="s">
        <v>626</v>
      </c>
      <c r="E1031" s="42" t="s">
        <v>415</v>
      </c>
      <c r="F1031" s="42" t="s">
        <v>706</v>
      </c>
      <c r="G1031" s="42" t="s">
        <v>708</v>
      </c>
      <c r="H1031" s="42" t="s">
        <v>968</v>
      </c>
    </row>
    <row r="1032" spans="2:9" ht="14">
      <c r="B1032" s="47" t="s">
        <v>714</v>
      </c>
      <c r="C1032" s="46">
        <v>1943</v>
      </c>
      <c r="D1032" s="215">
        <v>1235</v>
      </c>
      <c r="E1032" s="215">
        <v>3178</v>
      </c>
      <c r="F1032" s="46">
        <v>3781</v>
      </c>
      <c r="G1032" s="215">
        <v>2542</v>
      </c>
      <c r="H1032" s="215">
        <v>6323</v>
      </c>
    </row>
    <row r="1033" spans="2:9" ht="14">
      <c r="B1033" s="47" t="s">
        <v>978</v>
      </c>
      <c r="C1033" s="46">
        <v>618</v>
      </c>
      <c r="D1033" s="216">
        <v>511</v>
      </c>
      <c r="E1033" s="215">
        <v>1129</v>
      </c>
      <c r="F1033" s="46">
        <v>471</v>
      </c>
      <c r="G1033" s="216">
        <v>320</v>
      </c>
      <c r="H1033" s="215">
        <v>791</v>
      </c>
    </row>
    <row r="1034" spans="2:9" ht="14">
      <c r="B1034" s="47" t="s">
        <v>979</v>
      </c>
      <c r="C1034" s="46">
        <v>761</v>
      </c>
      <c r="D1034" s="216">
        <v>603</v>
      </c>
      <c r="E1034" s="215">
        <v>1364</v>
      </c>
      <c r="F1034" s="46">
        <v>239</v>
      </c>
      <c r="G1034" s="216">
        <v>156</v>
      </c>
      <c r="H1034" s="215">
        <v>395</v>
      </c>
    </row>
    <row r="1035" spans="2:9" ht="14">
      <c r="B1035" s="47" t="s">
        <v>717</v>
      </c>
      <c r="C1035" s="45">
        <v>2044</v>
      </c>
      <c r="D1035" s="215">
        <v>3472</v>
      </c>
      <c r="E1035" s="215">
        <v>5516</v>
      </c>
      <c r="F1035" s="45">
        <v>2189</v>
      </c>
      <c r="G1035" s="215">
        <v>3578</v>
      </c>
      <c r="H1035" s="215">
        <v>5767</v>
      </c>
    </row>
    <row r="1036" spans="2:9" ht="14">
      <c r="B1036" s="47" t="s">
        <v>718</v>
      </c>
      <c r="C1036" s="46">
        <v>668</v>
      </c>
      <c r="D1036" s="216">
        <v>496</v>
      </c>
      <c r="E1036" s="215">
        <v>1164</v>
      </c>
      <c r="F1036" s="46">
        <v>503</v>
      </c>
      <c r="G1036" s="216">
        <v>436</v>
      </c>
      <c r="H1036" s="215">
        <v>939</v>
      </c>
    </row>
    <row r="1037" spans="2:9" ht="14">
      <c r="B1037" s="47" t="s">
        <v>719</v>
      </c>
      <c r="C1037" s="46">
        <v>1551</v>
      </c>
      <c r="D1037" s="216">
        <v>1000</v>
      </c>
      <c r="E1037" s="215">
        <v>2551</v>
      </c>
      <c r="F1037" s="46">
        <v>1152</v>
      </c>
      <c r="G1037" s="216">
        <v>828</v>
      </c>
      <c r="H1037" s="215">
        <v>1980</v>
      </c>
    </row>
    <row r="1038" spans="2:9" ht="14">
      <c r="B1038" s="47" t="s">
        <v>980</v>
      </c>
      <c r="C1038" s="45">
        <v>2771</v>
      </c>
      <c r="D1038" s="216">
        <v>762</v>
      </c>
      <c r="E1038" s="215">
        <v>3533</v>
      </c>
      <c r="F1038" s="45">
        <v>3112</v>
      </c>
      <c r="G1038" s="216">
        <v>927</v>
      </c>
      <c r="H1038" s="215">
        <v>4039</v>
      </c>
    </row>
    <row r="1039" spans="2:9" ht="14">
      <c r="B1039" s="47" t="s">
        <v>981</v>
      </c>
      <c r="C1039" s="46">
        <v>537</v>
      </c>
      <c r="D1039" s="216">
        <v>281</v>
      </c>
      <c r="E1039" s="216">
        <v>818</v>
      </c>
      <c r="F1039" s="46">
        <v>464</v>
      </c>
      <c r="G1039" s="216">
        <v>271</v>
      </c>
      <c r="H1039" s="216">
        <v>735</v>
      </c>
    </row>
    <row r="1040" spans="2:9" ht="14">
      <c r="B1040" s="47" t="s">
        <v>722</v>
      </c>
      <c r="C1040" s="46">
        <v>917</v>
      </c>
      <c r="D1040" s="216">
        <v>1191</v>
      </c>
      <c r="E1040" s="215">
        <v>2108</v>
      </c>
      <c r="F1040" s="46">
        <v>1272</v>
      </c>
      <c r="G1040" s="216">
        <v>1304</v>
      </c>
      <c r="H1040" s="215">
        <v>2576</v>
      </c>
    </row>
    <row r="1041" spans="2:8" ht="14">
      <c r="B1041" s="47" t="s">
        <v>982</v>
      </c>
      <c r="C1041" s="46">
        <v>1087</v>
      </c>
      <c r="D1041" s="216">
        <v>907</v>
      </c>
      <c r="E1041" s="215">
        <v>1994</v>
      </c>
      <c r="F1041" s="46">
        <v>199</v>
      </c>
      <c r="G1041" s="216">
        <v>392</v>
      </c>
      <c r="H1041" s="215">
        <v>591</v>
      </c>
    </row>
    <row r="1042" spans="2:8" ht="14">
      <c r="B1042" s="43" t="s">
        <v>415</v>
      </c>
      <c r="C1042" s="44">
        <v>12897</v>
      </c>
      <c r="D1042" s="44">
        <v>10458</v>
      </c>
      <c r="E1042" s="44">
        <v>23355</v>
      </c>
      <c r="F1042" s="44">
        <v>13382</v>
      </c>
      <c r="G1042" s="44">
        <v>10754</v>
      </c>
      <c r="H1042" s="44">
        <v>24136</v>
      </c>
    </row>
    <row r="1043" spans="2:8" ht="14">
      <c r="B1043" s="133" t="s">
        <v>936</v>
      </c>
    </row>
    <row r="1044" spans="2:8" ht="15.5">
      <c r="B1044" s="170" t="s">
        <v>314</v>
      </c>
    </row>
    <row r="1045" spans="2:8" ht="15.5">
      <c r="B1045" s="49" t="s">
        <v>983</v>
      </c>
      <c r="C1045"/>
      <c r="D1045"/>
      <c r="E1045"/>
      <c r="F1045"/>
      <c r="G1045"/>
    </row>
    <row r="1046" spans="2:8" ht="14">
      <c r="B1046" s="41" t="s">
        <v>640</v>
      </c>
      <c r="C1046" s="42" t="s">
        <v>955</v>
      </c>
      <c r="D1046" s="42" t="s">
        <v>422</v>
      </c>
      <c r="E1046" s="42" t="s">
        <v>423</v>
      </c>
      <c r="F1046" s="42" t="s">
        <v>941</v>
      </c>
      <c r="G1046" s="42" t="s">
        <v>335</v>
      </c>
      <c r="H1046" s="42" t="s">
        <v>984</v>
      </c>
    </row>
    <row r="1047" spans="2:8" ht="14">
      <c r="B1047" s="43" t="s">
        <v>985</v>
      </c>
      <c r="C1047" s="44">
        <v>7915</v>
      </c>
      <c r="D1047" s="44">
        <v>8615</v>
      </c>
      <c r="E1047" s="44">
        <v>7585</v>
      </c>
      <c r="F1047" s="44">
        <v>11408</v>
      </c>
      <c r="G1047" s="44">
        <v>11642</v>
      </c>
      <c r="H1047" s="44">
        <v>11791</v>
      </c>
    </row>
    <row r="1048" spans="2:8" ht="14">
      <c r="B1048" s="47" t="s">
        <v>625</v>
      </c>
      <c r="C1048" s="45">
        <v>5094</v>
      </c>
      <c r="D1048" s="45">
        <v>5423</v>
      </c>
      <c r="E1048" s="45">
        <v>4837</v>
      </c>
      <c r="F1048" s="45">
        <v>7548</v>
      </c>
      <c r="G1048" s="45">
        <v>7348</v>
      </c>
      <c r="H1048" s="45">
        <v>7469</v>
      </c>
    </row>
    <row r="1049" spans="2:8" ht="14">
      <c r="B1049" s="47" t="s">
        <v>626</v>
      </c>
      <c r="C1049" s="45">
        <v>2821</v>
      </c>
      <c r="D1049" s="45">
        <v>3192</v>
      </c>
      <c r="E1049" s="45">
        <v>2748</v>
      </c>
      <c r="F1049" s="45">
        <v>3860</v>
      </c>
      <c r="G1049" s="45">
        <v>4294</v>
      </c>
      <c r="H1049" s="45">
        <v>4322</v>
      </c>
    </row>
    <row r="1050" spans="2:8" ht="14.5">
      <c r="B1050" s="167" t="s">
        <v>642</v>
      </c>
      <c r="C1050" s="168">
        <v>0.64400000000000002</v>
      </c>
      <c r="D1050" s="168">
        <v>0.629</v>
      </c>
      <c r="E1050" s="168">
        <v>0.63800000000000001</v>
      </c>
      <c r="F1050" s="168">
        <v>0.66200000000000003</v>
      </c>
      <c r="G1050" s="261">
        <v>0.63100000000000001</v>
      </c>
      <c r="H1050" s="261">
        <v>0.63300000000000001</v>
      </c>
    </row>
    <row r="1051" spans="2:8" ht="14.5">
      <c r="B1051" s="167" t="s">
        <v>643</v>
      </c>
      <c r="C1051" s="168">
        <v>0.35599999999999998</v>
      </c>
      <c r="D1051" s="168">
        <v>0.371</v>
      </c>
      <c r="E1051" s="168">
        <v>0.36199999999999999</v>
      </c>
      <c r="F1051" s="168">
        <v>0.33800000000000002</v>
      </c>
      <c r="G1051" s="261">
        <v>0.36899999999999999</v>
      </c>
      <c r="H1051" s="261">
        <v>0.36699999999999999</v>
      </c>
    </row>
    <row r="1052" spans="2:8" ht="14">
      <c r="B1052" s="43" t="s">
        <v>664</v>
      </c>
      <c r="C1052" s="44">
        <v>5680</v>
      </c>
      <c r="D1052" s="44">
        <v>6127</v>
      </c>
      <c r="E1052" s="44">
        <v>4614</v>
      </c>
      <c r="F1052" s="44">
        <v>8063</v>
      </c>
      <c r="G1052" s="44">
        <v>6600</v>
      </c>
      <c r="H1052" s="44">
        <v>6960</v>
      </c>
    </row>
    <row r="1053" spans="2:8" ht="14">
      <c r="B1053" s="47" t="s">
        <v>625</v>
      </c>
      <c r="C1053" s="45">
        <v>4008</v>
      </c>
      <c r="D1053" s="45">
        <v>4046</v>
      </c>
      <c r="E1053" s="45">
        <v>3192</v>
      </c>
      <c r="F1053" s="45">
        <v>5557</v>
      </c>
      <c r="G1053" s="45">
        <v>4570</v>
      </c>
      <c r="H1053" s="45">
        <v>4862</v>
      </c>
    </row>
    <row r="1054" spans="2:8" ht="14">
      <c r="B1054" s="47" t="s">
        <v>626</v>
      </c>
      <c r="C1054" s="45">
        <v>1672</v>
      </c>
      <c r="D1054" s="45">
        <v>2081</v>
      </c>
      <c r="E1054" s="45">
        <v>1422</v>
      </c>
      <c r="F1054" s="45">
        <v>2506</v>
      </c>
      <c r="G1054" s="45">
        <v>2030</v>
      </c>
      <c r="H1054" s="45">
        <v>2098</v>
      </c>
    </row>
    <row r="1055" spans="2:8" ht="14">
      <c r="B1055" s="43" t="s">
        <v>665</v>
      </c>
      <c r="C1055" s="44">
        <v>2235</v>
      </c>
      <c r="D1055" s="44">
        <v>2488</v>
      </c>
      <c r="E1055" s="44">
        <v>2971</v>
      </c>
      <c r="F1055" s="44">
        <v>3345</v>
      </c>
      <c r="G1055" s="44">
        <v>5042</v>
      </c>
      <c r="H1055" s="44">
        <v>4831</v>
      </c>
    </row>
    <row r="1056" spans="2:8" ht="14">
      <c r="B1056" s="47" t="s">
        <v>625</v>
      </c>
      <c r="C1056" s="45">
        <v>1086</v>
      </c>
      <c r="D1056" s="45">
        <v>1377</v>
      </c>
      <c r="E1056" s="45">
        <v>1645</v>
      </c>
      <c r="F1056" s="45">
        <v>1991</v>
      </c>
      <c r="G1056" s="45">
        <v>2778</v>
      </c>
      <c r="H1056" s="45">
        <v>2607</v>
      </c>
    </row>
    <row r="1057" spans="2:8" ht="14">
      <c r="B1057" s="47" t="s">
        <v>626</v>
      </c>
      <c r="C1057" s="45">
        <v>1149</v>
      </c>
      <c r="D1057" s="45">
        <v>1111</v>
      </c>
      <c r="E1057" s="45">
        <v>1326</v>
      </c>
      <c r="F1057" s="45">
        <v>1354</v>
      </c>
      <c r="G1057" s="45">
        <v>2264</v>
      </c>
      <c r="H1057" s="45">
        <v>2224</v>
      </c>
    </row>
    <row r="1058" spans="2:8" ht="14">
      <c r="B1058" s="133" t="s">
        <v>936</v>
      </c>
    </row>
    <row r="1060" spans="2:8" ht="15.5">
      <c r="B1060" s="49" t="s">
        <v>986</v>
      </c>
      <c r="C1060"/>
      <c r="D1060"/>
      <c r="E1060"/>
      <c r="F1060"/>
      <c r="G1060"/>
    </row>
    <row r="1061" spans="2:8" ht="15.5">
      <c r="B1061" s="95" t="s">
        <v>640</v>
      </c>
      <c r="C1061" s="71" t="s">
        <v>955</v>
      </c>
      <c r="D1061" s="71" t="s">
        <v>422</v>
      </c>
      <c r="E1061" s="71" t="s">
        <v>423</v>
      </c>
      <c r="F1061" s="71" t="s">
        <v>941</v>
      </c>
      <c r="G1061" s="217" t="s">
        <v>335</v>
      </c>
      <c r="H1061" s="220" t="s">
        <v>256</v>
      </c>
    </row>
    <row r="1062" spans="2:8" ht="15.5">
      <c r="B1062" s="96" t="s">
        <v>987</v>
      </c>
      <c r="C1062" s="188">
        <v>0.33500000000000002</v>
      </c>
      <c r="D1062" s="188">
        <v>0.373</v>
      </c>
      <c r="E1062" s="188">
        <v>0.36899999999999999</v>
      </c>
      <c r="F1062" s="188">
        <v>0.49099999999999999</v>
      </c>
      <c r="G1062" s="188" t="s">
        <v>988</v>
      </c>
      <c r="H1062" s="188">
        <v>0.48899999999999999</v>
      </c>
    </row>
    <row r="1063" spans="2:8" ht="15.5">
      <c r="B1063" s="76" t="s">
        <v>625</v>
      </c>
      <c r="C1063" s="169">
        <v>0.39900000000000002</v>
      </c>
      <c r="D1063" s="169">
        <v>0.42599999999999999</v>
      </c>
      <c r="E1063" s="169">
        <v>0.42599999999999999</v>
      </c>
      <c r="F1063" s="169">
        <v>0.57899999999999996</v>
      </c>
      <c r="G1063" s="169" t="s">
        <v>989</v>
      </c>
      <c r="H1063" s="169">
        <v>0.55800000000000005</v>
      </c>
    </row>
    <row r="1064" spans="2:8" ht="15.5">
      <c r="B1064" s="76" t="s">
        <v>626</v>
      </c>
      <c r="C1064" s="169">
        <v>0.26</v>
      </c>
      <c r="D1064" s="169">
        <v>0.307</v>
      </c>
      <c r="E1064" s="169">
        <v>0.29899999999999999</v>
      </c>
      <c r="F1064" s="169">
        <v>0.378</v>
      </c>
      <c r="G1064" s="169" t="s">
        <v>990</v>
      </c>
      <c r="H1064" s="169">
        <v>0.40200000000000002</v>
      </c>
    </row>
    <row r="1065" spans="2:8" ht="15.5">
      <c r="B1065" s="96" t="s">
        <v>645</v>
      </c>
      <c r="C1065" s="188">
        <v>0.53</v>
      </c>
      <c r="D1065" s="188">
        <v>0.55000000000000004</v>
      </c>
      <c r="E1065" s="188">
        <v>0.50900000000000001</v>
      </c>
      <c r="F1065" s="188">
        <v>0.66400000000000003</v>
      </c>
      <c r="G1065" s="188" t="s">
        <v>991</v>
      </c>
      <c r="H1065" s="188">
        <v>0.627</v>
      </c>
    </row>
    <row r="1066" spans="2:8" ht="15.5">
      <c r="B1066" s="76" t="s">
        <v>625</v>
      </c>
      <c r="C1066" s="169">
        <v>0.55800000000000005</v>
      </c>
      <c r="D1066" s="169">
        <v>0.55800000000000005</v>
      </c>
      <c r="E1066" s="169">
        <v>0.52900000000000003</v>
      </c>
      <c r="F1066" s="169">
        <v>0.69799999999999995</v>
      </c>
      <c r="G1066" s="169" t="s">
        <v>992</v>
      </c>
      <c r="H1066" s="169">
        <v>0.67400000000000004</v>
      </c>
    </row>
    <row r="1067" spans="2:8" ht="15.5">
      <c r="B1067" s="76" t="s">
        <v>626</v>
      </c>
      <c r="C1067" s="169">
        <v>0.47299999999999998</v>
      </c>
      <c r="D1067" s="169">
        <v>0.53400000000000003</v>
      </c>
      <c r="E1067" s="169">
        <v>0.47099999999999997</v>
      </c>
      <c r="F1067" s="169">
        <v>0.6</v>
      </c>
      <c r="G1067" s="169" t="s">
        <v>993</v>
      </c>
      <c r="H1067" s="169">
        <v>0.53900000000000003</v>
      </c>
    </row>
    <row r="1068" spans="2:8" ht="15.5">
      <c r="B1068" s="96" t="s">
        <v>647</v>
      </c>
      <c r="C1068" s="188">
        <v>0.17299999999999999</v>
      </c>
      <c r="D1068" s="188">
        <v>0.20799999999999999</v>
      </c>
      <c r="E1068" s="188">
        <v>0.25900000000000001</v>
      </c>
      <c r="F1068" s="188">
        <v>0.30099999999999999</v>
      </c>
      <c r="G1068" s="188" t="s">
        <v>710</v>
      </c>
      <c r="H1068" s="188">
        <v>0.371</v>
      </c>
    </row>
    <row r="1069" spans="2:8" ht="15.5">
      <c r="B1069" s="76" t="s">
        <v>625</v>
      </c>
      <c r="C1069" s="169">
        <v>0.19400000000000001</v>
      </c>
      <c r="D1069" s="169">
        <v>0.252</v>
      </c>
      <c r="E1069" s="169">
        <v>0.31</v>
      </c>
      <c r="F1069" s="169">
        <v>0.39200000000000002</v>
      </c>
      <c r="G1069" s="169" t="s">
        <v>994</v>
      </c>
      <c r="H1069" s="169">
        <v>0.42299999999999999</v>
      </c>
    </row>
    <row r="1070" spans="2:8" ht="15.5">
      <c r="B1070" s="76" t="s">
        <v>626</v>
      </c>
      <c r="C1070" s="169">
        <v>0.157</v>
      </c>
      <c r="D1070" s="169">
        <v>0.17100000000000001</v>
      </c>
      <c r="E1070" s="169">
        <v>0.215</v>
      </c>
      <c r="F1070" s="169">
        <v>0.22500000000000001</v>
      </c>
      <c r="G1070" s="169" t="s">
        <v>995</v>
      </c>
      <c r="H1070" s="169">
        <v>0.32400000000000001</v>
      </c>
    </row>
    <row r="1071" spans="2:8" ht="14.5">
      <c r="B1071" s="156" t="s">
        <v>724</v>
      </c>
      <c r="C1071"/>
      <c r="D1071"/>
      <c r="E1071"/>
      <c r="F1071"/>
      <c r="G1071"/>
    </row>
    <row r="1073" spans="2:8" ht="15.5">
      <c r="B1073" s="49" t="s">
        <v>996</v>
      </c>
      <c r="C1073"/>
      <c r="D1073"/>
      <c r="E1073"/>
      <c r="F1073"/>
      <c r="G1073"/>
    </row>
    <row r="1074" spans="2:8" ht="15.5">
      <c r="B1074" s="62" t="s">
        <v>376</v>
      </c>
      <c r="C1074" s="63">
        <v>2016</v>
      </c>
      <c r="D1074" s="71">
        <v>2017</v>
      </c>
      <c r="E1074" s="71">
        <v>2018</v>
      </c>
      <c r="F1074" s="71">
        <v>2019</v>
      </c>
      <c r="G1074" s="71" t="s">
        <v>335</v>
      </c>
      <c r="H1074" s="71" t="s">
        <v>256</v>
      </c>
    </row>
    <row r="1075" spans="2:8" ht="15.5">
      <c r="B1075" s="96" t="s">
        <v>997</v>
      </c>
      <c r="C1075" s="97">
        <v>103164</v>
      </c>
      <c r="D1075" s="97">
        <v>94277</v>
      </c>
      <c r="E1075" s="97">
        <v>101508</v>
      </c>
      <c r="F1075" s="97">
        <v>79200</v>
      </c>
      <c r="G1075" s="97">
        <v>123822</v>
      </c>
      <c r="H1075" s="453">
        <v>93393</v>
      </c>
    </row>
    <row r="1076" spans="2:8" ht="15.5">
      <c r="B1076" s="76" t="s">
        <v>998</v>
      </c>
      <c r="C1076" s="35">
        <v>43937</v>
      </c>
      <c r="D1076" s="35">
        <v>38645</v>
      </c>
      <c r="E1076" s="35">
        <v>40932</v>
      </c>
      <c r="F1076" s="35">
        <v>29948</v>
      </c>
      <c r="G1076" s="35">
        <v>45022</v>
      </c>
      <c r="H1076" s="454">
        <v>33224</v>
      </c>
    </row>
    <row r="1077" spans="2:8" ht="15.5">
      <c r="B1077" s="76" t="s">
        <v>999</v>
      </c>
      <c r="C1077" s="35">
        <v>59227</v>
      </c>
      <c r="D1077" s="35">
        <v>55632</v>
      </c>
      <c r="E1077" s="35">
        <v>60576</v>
      </c>
      <c r="F1077" s="35">
        <v>49252</v>
      </c>
      <c r="G1077" s="35">
        <v>78800</v>
      </c>
      <c r="H1077" s="454">
        <v>60169</v>
      </c>
    </row>
    <row r="1078" spans="2:8" ht="15.5">
      <c r="B1078" s="109" t="s">
        <v>627</v>
      </c>
      <c r="C1078" s="110">
        <v>0.42599999999999999</v>
      </c>
      <c r="D1078" s="110">
        <v>0.41</v>
      </c>
      <c r="E1078" s="110">
        <v>0.40300000000000002</v>
      </c>
      <c r="F1078" s="110">
        <v>0.378</v>
      </c>
      <c r="G1078" s="110">
        <v>0.36399999999999999</v>
      </c>
      <c r="H1078" s="455">
        <v>0.35574400651012389</v>
      </c>
    </row>
    <row r="1079" spans="2:8" ht="15.5">
      <c r="B1079" s="109" t="s">
        <v>628</v>
      </c>
      <c r="C1079" s="110">
        <v>0.57399999999999995</v>
      </c>
      <c r="D1079" s="110">
        <v>0.59</v>
      </c>
      <c r="E1079" s="110">
        <v>0.59699999999999998</v>
      </c>
      <c r="F1079" s="110">
        <v>0.622</v>
      </c>
      <c r="G1079" s="110">
        <v>0.63600000000000001</v>
      </c>
      <c r="H1079" s="455">
        <v>0.64425599348987617</v>
      </c>
    </row>
    <row r="1080" spans="2:8" ht="14.5">
      <c r="B1080" s="156" t="s">
        <v>724</v>
      </c>
      <c r="C1080"/>
      <c r="D1080"/>
      <c r="E1080"/>
      <c r="F1080"/>
      <c r="G1080"/>
    </row>
    <row r="1082" spans="2:8" ht="15.5">
      <c r="B1082" s="18" t="s">
        <v>120</v>
      </c>
      <c r="C1082" s="27"/>
    </row>
    <row r="1083" spans="2:8" ht="15.5">
      <c r="B1083" s="170" t="s">
        <v>314</v>
      </c>
    </row>
    <row r="1084" spans="2:8" ht="15.5">
      <c r="B1084" s="27" t="s">
        <v>121</v>
      </c>
    </row>
    <row r="1085" spans="2:8" ht="31">
      <c r="B1085" s="442" t="s">
        <v>1000</v>
      </c>
      <c r="C1085" s="442" t="s">
        <v>1001</v>
      </c>
      <c r="D1085" s="442" t="s">
        <v>1002</v>
      </c>
      <c r="E1085" s="442" t="s">
        <v>1003</v>
      </c>
      <c r="F1085" s="442" t="s">
        <v>853</v>
      </c>
      <c r="G1085" s="442" t="s">
        <v>854</v>
      </c>
      <c r="H1085" s="442" t="s">
        <v>270</v>
      </c>
    </row>
    <row r="1086" spans="2:8" ht="15.75" customHeight="1">
      <c r="B1086" s="821" t="s">
        <v>1004</v>
      </c>
      <c r="C1086" s="822"/>
      <c r="D1086" s="822"/>
      <c r="E1086" s="822"/>
      <c r="F1086" s="822"/>
      <c r="G1086" s="822"/>
      <c r="H1086" s="823"/>
    </row>
    <row r="1087" spans="2:8" ht="31">
      <c r="B1087" s="810" t="s">
        <v>315</v>
      </c>
      <c r="C1087" s="810" t="s">
        <v>1005</v>
      </c>
      <c r="D1087" s="810" t="s">
        <v>1006</v>
      </c>
      <c r="E1087" s="810" t="s">
        <v>1007</v>
      </c>
      <c r="F1087" s="810" t="s">
        <v>1008</v>
      </c>
      <c r="G1087" s="810" t="s">
        <v>1009</v>
      </c>
      <c r="H1087" s="810" t="s">
        <v>1010</v>
      </c>
    </row>
    <row r="1088" spans="2:8" ht="31">
      <c r="B1088" s="358" t="s">
        <v>782</v>
      </c>
      <c r="C1088" s="358" t="s">
        <v>1011</v>
      </c>
      <c r="D1088" s="358" t="s">
        <v>1012</v>
      </c>
      <c r="E1088" s="358" t="s">
        <v>1013</v>
      </c>
      <c r="F1088" s="358" t="s">
        <v>1014</v>
      </c>
      <c r="G1088" s="358" t="s">
        <v>1015</v>
      </c>
      <c r="H1088" s="358" t="s">
        <v>1016</v>
      </c>
    </row>
    <row r="1089" spans="2:10" ht="31">
      <c r="B1089" s="358" t="s">
        <v>783</v>
      </c>
      <c r="C1089" s="358" t="s">
        <v>1017</v>
      </c>
      <c r="D1089" s="358" t="s">
        <v>1018</v>
      </c>
      <c r="E1089" s="358" t="s">
        <v>1019</v>
      </c>
      <c r="F1089" s="358" t="s">
        <v>1020</v>
      </c>
      <c r="G1089" s="358" t="s">
        <v>1021</v>
      </c>
      <c r="H1089" s="358" t="s">
        <v>1022</v>
      </c>
    </row>
    <row r="1090" spans="2:10" ht="15.75" customHeight="1">
      <c r="B1090" s="871" t="s">
        <v>1023</v>
      </c>
      <c r="C1090" s="871"/>
      <c r="D1090" s="871"/>
      <c r="E1090" s="871"/>
      <c r="F1090" s="871"/>
      <c r="G1090" s="871"/>
      <c r="H1090" s="871"/>
    </row>
    <row r="1091" spans="2:10" ht="31">
      <c r="B1091" s="810" t="s">
        <v>315</v>
      </c>
      <c r="C1091" s="810" t="s">
        <v>1024</v>
      </c>
      <c r="D1091" s="810" t="s">
        <v>1025</v>
      </c>
      <c r="E1091" s="810" t="s">
        <v>1026</v>
      </c>
      <c r="F1091" s="810" t="s">
        <v>1027</v>
      </c>
      <c r="G1091" s="810" t="s">
        <v>1028</v>
      </c>
      <c r="H1091" s="810" t="s">
        <v>1029</v>
      </c>
    </row>
    <row r="1092" spans="2:10" ht="31">
      <c r="B1092" s="358" t="s">
        <v>782</v>
      </c>
      <c r="C1092" s="358" t="s">
        <v>1030</v>
      </c>
      <c r="D1092" s="358" t="s">
        <v>1031</v>
      </c>
      <c r="E1092" s="358" t="s">
        <v>1032</v>
      </c>
      <c r="F1092" s="358" t="s">
        <v>1033</v>
      </c>
      <c r="G1092" s="358" t="s">
        <v>1034</v>
      </c>
      <c r="H1092" s="358" t="s">
        <v>1035</v>
      </c>
      <c r="I1092" s="82" t="s">
        <v>704</v>
      </c>
    </row>
    <row r="1093" spans="2:10" ht="31">
      <c r="B1093" s="358" t="s">
        <v>783</v>
      </c>
      <c r="C1093" s="358" t="s">
        <v>1036</v>
      </c>
      <c r="D1093" s="358" t="s">
        <v>1037</v>
      </c>
      <c r="E1093" s="358" t="s">
        <v>1038</v>
      </c>
      <c r="F1093" s="358" t="s">
        <v>1039</v>
      </c>
      <c r="G1093" s="358" t="s">
        <v>1040</v>
      </c>
      <c r="H1093" s="358" t="s">
        <v>1041</v>
      </c>
    </row>
    <row r="1094" spans="2:10" ht="15.75" customHeight="1">
      <c r="B1094" s="871" t="s">
        <v>1042</v>
      </c>
      <c r="C1094" s="871"/>
      <c r="D1094" s="871"/>
      <c r="E1094" s="871"/>
      <c r="F1094" s="871"/>
      <c r="G1094" s="871"/>
      <c r="H1094" s="871"/>
    </row>
    <row r="1095" spans="2:10" ht="15.5">
      <c r="B1095" s="811" t="s">
        <v>1043</v>
      </c>
      <c r="C1095" s="811" t="s">
        <v>1044</v>
      </c>
      <c r="D1095" s="811" t="s">
        <v>1045</v>
      </c>
      <c r="E1095" s="811" t="s">
        <v>1046</v>
      </c>
      <c r="F1095" s="811" t="s">
        <v>1047</v>
      </c>
      <c r="G1095" s="811" t="s">
        <v>1048</v>
      </c>
      <c r="H1095" s="811" t="s">
        <v>1049</v>
      </c>
    </row>
    <row r="1096" spans="2:10" ht="15.5">
      <c r="B1096" s="812" t="s">
        <v>782</v>
      </c>
      <c r="C1096" s="812" t="s">
        <v>1050</v>
      </c>
      <c r="D1096" s="812" t="s">
        <v>1051</v>
      </c>
      <c r="E1096" s="812" t="s">
        <v>629</v>
      </c>
      <c r="F1096" s="812" t="s">
        <v>1052</v>
      </c>
      <c r="G1096" s="812" t="s">
        <v>1053</v>
      </c>
      <c r="H1096" s="812" t="s">
        <v>1054</v>
      </c>
    </row>
    <row r="1097" spans="2:10" ht="15.5">
      <c r="B1097" s="812" t="s">
        <v>783</v>
      </c>
      <c r="C1097" s="812" t="s">
        <v>1055</v>
      </c>
      <c r="D1097" s="812" t="s">
        <v>1056</v>
      </c>
      <c r="E1097" s="812" t="s">
        <v>1057</v>
      </c>
      <c r="F1097" s="812" t="s">
        <v>1058</v>
      </c>
      <c r="G1097" s="812" t="s">
        <v>1059</v>
      </c>
      <c r="H1097" s="812" t="s">
        <v>1060</v>
      </c>
    </row>
    <row r="1098" spans="2:10" ht="14">
      <c r="B1098" s="21" t="s">
        <v>278</v>
      </c>
    </row>
    <row r="1100" spans="2:10" ht="15.5">
      <c r="B1100" s="49" t="s">
        <v>1061</v>
      </c>
      <c r="C1100"/>
      <c r="D1100"/>
      <c r="E1100"/>
      <c r="F1100"/>
      <c r="G1100"/>
    </row>
    <row r="1101" spans="2:10" ht="31">
      <c r="B1101" s="502" t="s">
        <v>1062</v>
      </c>
      <c r="C1101" s="503" t="s">
        <v>1063</v>
      </c>
      <c r="D1101" s="503" t="s">
        <v>1064</v>
      </c>
      <c r="E1101" s="503" t="s">
        <v>1065</v>
      </c>
      <c r="F1101" s="503" t="s">
        <v>1066</v>
      </c>
      <c r="G1101" s="503" t="s">
        <v>1067</v>
      </c>
      <c r="H1101" s="504" t="s">
        <v>1068</v>
      </c>
      <c r="I1101" s="505" t="s">
        <v>1069</v>
      </c>
    </row>
    <row r="1102" spans="2:10" ht="17.25" customHeight="1">
      <c r="B1102" s="826" t="s">
        <v>1070</v>
      </c>
      <c r="C1102" s="826"/>
      <c r="D1102" s="826"/>
      <c r="E1102" s="826"/>
      <c r="F1102" s="826"/>
      <c r="G1102" s="826"/>
      <c r="H1102" s="826"/>
      <c r="I1102" s="826"/>
    </row>
    <row r="1103" spans="2:10" ht="15.5">
      <c r="B1103" s="501" t="s">
        <v>1071</v>
      </c>
      <c r="C1103" s="670">
        <v>198420</v>
      </c>
      <c r="D1103" s="670">
        <v>244503</v>
      </c>
      <c r="E1103" s="670">
        <v>260060</v>
      </c>
      <c r="F1103" s="670">
        <v>299954</v>
      </c>
      <c r="G1103" s="670">
        <v>288116</v>
      </c>
      <c r="H1103" s="670">
        <v>227552</v>
      </c>
      <c r="I1103" s="670">
        <v>184999</v>
      </c>
      <c r="J1103" s="82" t="s">
        <v>704</v>
      </c>
    </row>
    <row r="1104" spans="2:10" ht="15.5">
      <c r="B1104" s="369" t="s">
        <v>706</v>
      </c>
      <c r="C1104" s="671">
        <v>89442</v>
      </c>
      <c r="D1104" s="671">
        <v>110892</v>
      </c>
      <c r="E1104" s="671">
        <v>118751</v>
      </c>
      <c r="F1104" s="671">
        <v>139172</v>
      </c>
      <c r="G1104" s="671">
        <v>134297</v>
      </c>
      <c r="H1104" s="671">
        <v>102527</v>
      </c>
      <c r="I1104" s="671">
        <v>83057</v>
      </c>
    </row>
    <row r="1105" spans="2:10" ht="15.5">
      <c r="B1105" s="499" t="s">
        <v>708</v>
      </c>
      <c r="C1105" s="672">
        <v>108978</v>
      </c>
      <c r="D1105" s="672">
        <v>133611</v>
      </c>
      <c r="E1105" s="672">
        <v>141309</v>
      </c>
      <c r="F1105" s="672">
        <v>160782</v>
      </c>
      <c r="G1105" s="672">
        <v>153819</v>
      </c>
      <c r="H1105" s="672">
        <v>125025</v>
      </c>
      <c r="I1105" s="672">
        <v>101942</v>
      </c>
    </row>
    <row r="1106" spans="2:10" ht="15.75" customHeight="1">
      <c r="B1106" s="826" t="s">
        <v>1072</v>
      </c>
      <c r="C1106" s="826"/>
      <c r="D1106" s="826"/>
      <c r="E1106" s="826"/>
      <c r="F1106" s="826"/>
      <c r="G1106" s="826"/>
      <c r="H1106" s="826"/>
      <c r="I1106" s="826"/>
    </row>
    <row r="1107" spans="2:10" ht="15.5">
      <c r="B1107" s="501" t="s">
        <v>1071</v>
      </c>
      <c r="C1107" s="501" t="s">
        <v>1073</v>
      </c>
      <c r="D1107" s="673">
        <v>147758</v>
      </c>
      <c r="E1107" s="670">
        <v>175030</v>
      </c>
      <c r="F1107" s="670">
        <v>187826</v>
      </c>
      <c r="G1107" s="670">
        <v>197938</v>
      </c>
      <c r="H1107" s="670">
        <v>192515</v>
      </c>
      <c r="I1107" s="670">
        <v>188669</v>
      </c>
    </row>
    <row r="1108" spans="2:10" ht="15.5">
      <c r="B1108" s="369" t="s">
        <v>706</v>
      </c>
      <c r="C1108" s="370" t="s">
        <v>1074</v>
      </c>
      <c r="D1108" s="671">
        <v>67445</v>
      </c>
      <c r="E1108" s="671">
        <v>80197</v>
      </c>
      <c r="F1108" s="671">
        <v>85573</v>
      </c>
      <c r="G1108" s="671">
        <v>91284</v>
      </c>
      <c r="H1108" s="671">
        <v>87365</v>
      </c>
      <c r="I1108" s="671">
        <v>85380</v>
      </c>
    </row>
    <row r="1109" spans="2:10" ht="15.5">
      <c r="B1109" s="499" t="s">
        <v>708</v>
      </c>
      <c r="C1109" s="500" t="s">
        <v>1074</v>
      </c>
      <c r="D1109" s="672">
        <v>80313</v>
      </c>
      <c r="E1109" s="672">
        <v>94833</v>
      </c>
      <c r="F1109" s="672">
        <v>102253</v>
      </c>
      <c r="G1109" s="672">
        <v>106654</v>
      </c>
      <c r="H1109" s="672">
        <v>105150</v>
      </c>
      <c r="I1109" s="672">
        <v>103289</v>
      </c>
    </row>
    <row r="1110" spans="2:10" ht="17.25" customHeight="1">
      <c r="B1110" s="826" t="s">
        <v>1075</v>
      </c>
      <c r="C1110" s="826"/>
      <c r="D1110" s="826"/>
      <c r="E1110" s="826"/>
      <c r="F1110" s="826"/>
      <c r="G1110" s="826"/>
      <c r="H1110" s="826"/>
      <c r="I1110" s="826"/>
    </row>
    <row r="1111" spans="2:10" ht="15.5">
      <c r="B1111" s="501" t="s">
        <v>1076</v>
      </c>
      <c r="C1111" s="674">
        <v>0.74467291603668984</v>
      </c>
      <c r="D1111" s="674">
        <v>0.71586033709197838</v>
      </c>
      <c r="E1111" s="674">
        <v>0.72224102130277623</v>
      </c>
      <c r="F1111" s="674">
        <v>0.65989451715929781</v>
      </c>
      <c r="G1111" s="674">
        <v>0.66818573074733789</v>
      </c>
      <c r="H1111" s="675">
        <v>0.82912477148080443</v>
      </c>
      <c r="J1111" s="82" t="s">
        <v>704</v>
      </c>
    </row>
    <row r="1112" spans="2:10" ht="15.5">
      <c r="B1112" s="369" t="s">
        <v>706</v>
      </c>
      <c r="C1112" s="676">
        <v>0.75406408622347443</v>
      </c>
      <c r="D1112" s="676">
        <v>0.72319914872127833</v>
      </c>
      <c r="E1112" s="676">
        <v>0.72060866855858052</v>
      </c>
      <c r="F1112" s="676">
        <v>0.65590779754548334</v>
      </c>
      <c r="G1112" s="676">
        <v>0.65053575284630338</v>
      </c>
      <c r="H1112" s="677">
        <v>0.83275624957328309</v>
      </c>
    </row>
    <row r="1113" spans="2:10" ht="15.5">
      <c r="B1113" s="371" t="s">
        <v>708</v>
      </c>
      <c r="C1113" s="676">
        <v>0.73696525904310961</v>
      </c>
      <c r="D1113" s="676">
        <v>0.70976940521364262</v>
      </c>
      <c r="E1113" s="676">
        <v>0.7236127918250076</v>
      </c>
      <c r="F1113" s="676">
        <v>0.66334539936062498</v>
      </c>
      <c r="G1113" s="676">
        <v>0.68359565463304273</v>
      </c>
      <c r="H1113" s="677">
        <v>0.82614677064587083</v>
      </c>
    </row>
    <row r="1114" spans="2:10" ht="14">
      <c r="B1114" s="133" t="s">
        <v>419</v>
      </c>
    </row>
    <row r="1115" spans="2:10" ht="14">
      <c r="B1115" s="372" t="s">
        <v>1077</v>
      </c>
    </row>
    <row r="1116" spans="2:10" ht="15" customHeight="1">
      <c r="G1116" s="82" t="s">
        <v>704</v>
      </c>
    </row>
    <row r="1117" spans="2:10" ht="15.5">
      <c r="B1117" s="49" t="s">
        <v>1078</v>
      </c>
      <c r="C1117"/>
      <c r="D1117"/>
      <c r="E1117"/>
      <c r="F1117"/>
      <c r="G1117"/>
    </row>
    <row r="1118" spans="2:10" ht="31">
      <c r="B1118" s="502" t="s">
        <v>1062</v>
      </c>
      <c r="C1118" s="503" t="s">
        <v>1063</v>
      </c>
      <c r="D1118" s="503" t="s">
        <v>1064</v>
      </c>
      <c r="E1118" s="503" t="s">
        <v>1065</v>
      </c>
      <c r="F1118" s="503" t="s">
        <v>1066</v>
      </c>
      <c r="G1118" s="503" t="s">
        <v>1067</v>
      </c>
      <c r="H1118" s="504" t="s">
        <v>1068</v>
      </c>
      <c r="I1118" s="505" t="s">
        <v>1069</v>
      </c>
    </row>
    <row r="1119" spans="2:10" ht="15.75" customHeight="1">
      <c r="B1119" s="826" t="s">
        <v>1079</v>
      </c>
      <c r="C1119" s="826"/>
      <c r="D1119" s="826"/>
      <c r="E1119" s="826"/>
      <c r="F1119" s="826"/>
      <c r="G1119" s="826"/>
      <c r="H1119" s="826"/>
      <c r="I1119" s="826"/>
    </row>
    <row r="1120" spans="2:10" ht="15.5">
      <c r="B1120" s="501" t="s">
        <v>1071</v>
      </c>
      <c r="C1120" s="670">
        <v>92921</v>
      </c>
      <c r="D1120" s="670">
        <v>100640</v>
      </c>
      <c r="E1120" s="670">
        <v>100263</v>
      </c>
      <c r="F1120" s="670">
        <v>119064</v>
      </c>
      <c r="G1120" s="670">
        <v>130103</v>
      </c>
      <c r="H1120" s="670">
        <v>125267</v>
      </c>
      <c r="I1120" s="670">
        <v>105170</v>
      </c>
    </row>
    <row r="1121" spans="2:9" ht="15.5">
      <c r="B1121" s="369" t="s">
        <v>706</v>
      </c>
      <c r="C1121" s="671">
        <v>43230</v>
      </c>
      <c r="D1121" s="671">
        <v>47003</v>
      </c>
      <c r="E1121" s="671">
        <v>46552</v>
      </c>
      <c r="F1121" s="671">
        <v>54333</v>
      </c>
      <c r="G1121" s="671">
        <v>59381</v>
      </c>
      <c r="H1121" s="671">
        <v>55928</v>
      </c>
      <c r="I1121" s="671">
        <v>46336</v>
      </c>
    </row>
    <row r="1122" spans="2:9" ht="15.5">
      <c r="B1122" s="499" t="s">
        <v>708</v>
      </c>
      <c r="C1122" s="672">
        <v>49691</v>
      </c>
      <c r="D1122" s="672">
        <v>53637</v>
      </c>
      <c r="E1122" s="672">
        <v>53711</v>
      </c>
      <c r="F1122" s="672">
        <v>64731</v>
      </c>
      <c r="G1122" s="672">
        <v>70722</v>
      </c>
      <c r="H1122" s="672">
        <v>69339</v>
      </c>
      <c r="I1122" s="672">
        <v>58834</v>
      </c>
    </row>
    <row r="1123" spans="2:9" ht="15.75" customHeight="1">
      <c r="B1123" s="826" t="s">
        <v>1080</v>
      </c>
      <c r="C1123" s="826"/>
      <c r="D1123" s="826"/>
      <c r="E1123" s="826"/>
      <c r="F1123" s="826"/>
      <c r="G1123" s="826"/>
      <c r="H1123" s="826"/>
      <c r="I1123" s="826"/>
    </row>
    <row r="1124" spans="2:9" ht="15.5">
      <c r="B1124" s="501" t="s">
        <v>1071</v>
      </c>
      <c r="C1124" s="670"/>
      <c r="D1124" s="670">
        <v>79106</v>
      </c>
      <c r="E1124" s="670">
        <v>85937</v>
      </c>
      <c r="F1124" s="670">
        <v>86317</v>
      </c>
      <c r="G1124" s="670">
        <v>92181</v>
      </c>
      <c r="H1124" s="670">
        <v>95991</v>
      </c>
      <c r="I1124" s="670">
        <v>103195</v>
      </c>
    </row>
    <row r="1125" spans="2:9" ht="15.5">
      <c r="B1125" s="369" t="s">
        <v>1081</v>
      </c>
      <c r="C1125" s="671"/>
      <c r="D1125" s="671">
        <v>37684</v>
      </c>
      <c r="E1125" s="671">
        <v>41674</v>
      </c>
      <c r="F1125" s="671">
        <v>41248</v>
      </c>
      <c r="G1125" s="671">
        <v>43614</v>
      </c>
      <c r="H1125" s="671">
        <v>44296</v>
      </c>
      <c r="I1125" s="671">
        <v>47565</v>
      </c>
    </row>
    <row r="1126" spans="2:9" ht="15.5">
      <c r="B1126" s="499" t="s">
        <v>708</v>
      </c>
      <c r="C1126" s="672"/>
      <c r="D1126" s="672">
        <v>41422</v>
      </c>
      <c r="E1126" s="672">
        <v>44263</v>
      </c>
      <c r="F1126" s="672">
        <v>45069</v>
      </c>
      <c r="G1126" s="672">
        <v>48567</v>
      </c>
      <c r="H1126" s="672">
        <v>51695</v>
      </c>
      <c r="I1126" s="672">
        <v>55630</v>
      </c>
    </row>
    <row r="1127" spans="2:9" ht="15.75" customHeight="1">
      <c r="B1127" s="826" t="s">
        <v>1082</v>
      </c>
      <c r="C1127" s="826"/>
      <c r="D1127" s="826"/>
      <c r="E1127" s="826"/>
      <c r="F1127" s="826"/>
      <c r="G1127" s="826"/>
      <c r="H1127" s="826"/>
      <c r="I1127" s="826"/>
    </row>
    <row r="1128" spans="2:9" ht="15.5">
      <c r="B1128" s="501" t="s">
        <v>1076</v>
      </c>
      <c r="C1128" s="674">
        <v>0.85132531935730349</v>
      </c>
      <c r="D1128" s="674">
        <v>0.85390500794912561</v>
      </c>
      <c r="E1128" s="674">
        <v>0.8609058176994504</v>
      </c>
      <c r="F1128" s="674">
        <v>0.77421386817173954</v>
      </c>
      <c r="G1128" s="674">
        <v>0.73780773694688051</v>
      </c>
      <c r="H1128" s="675">
        <v>0.82380036242585841</v>
      </c>
    </row>
    <row r="1129" spans="2:9" ht="15.5">
      <c r="B1129" s="369" t="s">
        <v>706</v>
      </c>
      <c r="C1129" s="676">
        <v>0.87170946102243807</v>
      </c>
      <c r="D1129" s="676">
        <v>0.88662425802608347</v>
      </c>
      <c r="E1129" s="676">
        <v>0.8860628974050524</v>
      </c>
      <c r="F1129" s="676">
        <v>0.80271658108331956</v>
      </c>
      <c r="G1129" s="676">
        <v>0.74596251326181773</v>
      </c>
      <c r="H1129" s="677">
        <v>0.85046845944786154</v>
      </c>
    </row>
    <row r="1130" spans="2:9" ht="15.5">
      <c r="B1130" s="371" t="s">
        <v>708</v>
      </c>
      <c r="C1130" s="676">
        <v>0.8335915960636735</v>
      </c>
      <c r="D1130" s="676">
        <v>0.82523258198631544</v>
      </c>
      <c r="E1130" s="676">
        <v>0.83910185995419928</v>
      </c>
      <c r="F1130" s="676">
        <v>0.75028966028641608</v>
      </c>
      <c r="G1130" s="676">
        <v>0.73096066287718109</v>
      </c>
      <c r="H1130" s="677">
        <v>0.80229019743578645</v>
      </c>
    </row>
    <row r="1131" spans="2:9" ht="14.5">
      <c r="B1131" s="373" t="s">
        <v>1083</v>
      </c>
      <c r="C1131"/>
      <c r="D1131"/>
      <c r="E1131"/>
      <c r="F1131"/>
      <c r="G1131"/>
    </row>
    <row r="1132" spans="2:9" ht="26.5">
      <c r="B1132" s="374" t="s">
        <v>1084</v>
      </c>
      <c r="C1132"/>
      <c r="D1132"/>
      <c r="E1132"/>
      <c r="F1132"/>
      <c r="G1132"/>
    </row>
    <row r="1135" spans="2:9" ht="15.5">
      <c r="B1135" s="49" t="s">
        <v>1655</v>
      </c>
      <c r="C1135"/>
      <c r="D1135"/>
      <c r="E1135"/>
      <c r="F1135"/>
      <c r="G1135"/>
    </row>
    <row r="1136" spans="2:9" ht="15.5">
      <c r="B1136" s="62" t="s">
        <v>1085</v>
      </c>
      <c r="C1136" s="63">
        <v>2017</v>
      </c>
      <c r="D1136" s="63">
        <v>2018</v>
      </c>
      <c r="E1136" s="63">
        <v>2019</v>
      </c>
      <c r="F1136" s="63">
        <v>2020</v>
      </c>
      <c r="G1136" s="63">
        <v>2021</v>
      </c>
      <c r="H1136" s="63">
        <v>2022</v>
      </c>
    </row>
    <row r="1137" spans="2:8" ht="31">
      <c r="B1137" s="30" t="s">
        <v>1086</v>
      </c>
      <c r="C1137" s="31">
        <v>60973</v>
      </c>
      <c r="D1137" s="31">
        <v>59200</v>
      </c>
      <c r="E1137" s="31">
        <v>61758</v>
      </c>
      <c r="F1137" s="31">
        <v>63583</v>
      </c>
      <c r="G1137" s="31">
        <v>66692</v>
      </c>
      <c r="H1137" s="31">
        <v>77523</v>
      </c>
    </row>
    <row r="1138" spans="2:8" ht="15.5">
      <c r="B1138" s="64" t="s">
        <v>625</v>
      </c>
      <c r="C1138" s="65">
        <v>30787</v>
      </c>
      <c r="D1138" s="65">
        <v>29294</v>
      </c>
      <c r="E1138" s="65">
        <v>30819</v>
      </c>
      <c r="F1138" s="65">
        <v>31118</v>
      </c>
      <c r="G1138" s="65">
        <v>32616</v>
      </c>
      <c r="H1138" s="65">
        <v>37103</v>
      </c>
    </row>
    <row r="1139" spans="2:8" ht="15.5">
      <c r="B1139" s="64" t="s">
        <v>626</v>
      </c>
      <c r="C1139" s="65">
        <v>30186</v>
      </c>
      <c r="D1139" s="65">
        <v>29906</v>
      </c>
      <c r="E1139" s="65">
        <v>30939</v>
      </c>
      <c r="F1139" s="65">
        <v>32465</v>
      </c>
      <c r="G1139" s="65">
        <v>34076</v>
      </c>
      <c r="H1139" s="65">
        <v>40420</v>
      </c>
    </row>
    <row r="1140" spans="2:8" ht="31">
      <c r="B1140" s="30" t="s">
        <v>1087</v>
      </c>
      <c r="C1140" s="31">
        <v>28953</v>
      </c>
      <c r="D1140" s="31">
        <v>28939</v>
      </c>
      <c r="E1140" s="31">
        <v>32574</v>
      </c>
      <c r="F1140" s="31">
        <v>40030</v>
      </c>
      <c r="G1140" s="31">
        <v>30070</v>
      </c>
      <c r="H1140" s="31">
        <v>45364</v>
      </c>
    </row>
    <row r="1141" spans="2:8" ht="15.5">
      <c r="B1141" s="64" t="s">
        <v>625</v>
      </c>
      <c r="C1141" s="65">
        <v>14575</v>
      </c>
      <c r="D1141" s="65">
        <v>15467</v>
      </c>
      <c r="E1141" s="65">
        <v>17575</v>
      </c>
      <c r="F1141" s="65">
        <v>22256</v>
      </c>
      <c r="G1141" s="65">
        <v>16879</v>
      </c>
      <c r="H1141" s="65">
        <v>25086</v>
      </c>
    </row>
    <row r="1142" spans="2:8" ht="15.5">
      <c r="B1142" s="64" t="s">
        <v>626</v>
      </c>
      <c r="C1142" s="65">
        <v>14378</v>
      </c>
      <c r="D1142" s="65">
        <v>13472</v>
      </c>
      <c r="E1142" s="65">
        <v>14999</v>
      </c>
      <c r="F1142" s="65">
        <v>17774</v>
      </c>
      <c r="G1142" s="65">
        <v>13191</v>
      </c>
      <c r="H1142" s="65">
        <v>20278</v>
      </c>
    </row>
    <row r="1143" spans="2:8" ht="31">
      <c r="B1143" s="30" t="s">
        <v>1088</v>
      </c>
      <c r="C1143" s="222">
        <v>0.47499999999999998</v>
      </c>
      <c r="D1143" s="222">
        <v>0.48899999999999999</v>
      </c>
      <c r="E1143" s="222">
        <v>0.52700000000000002</v>
      </c>
      <c r="F1143" s="222">
        <v>0.63</v>
      </c>
      <c r="G1143" s="222">
        <v>0.45100000000000001</v>
      </c>
      <c r="H1143" s="222">
        <v>0.5851682726416676</v>
      </c>
    </row>
    <row r="1144" spans="2:8" ht="15.5">
      <c r="B1144" s="64" t="s">
        <v>625</v>
      </c>
      <c r="C1144" s="99">
        <v>0.47299999999999998</v>
      </c>
      <c r="D1144" s="99">
        <v>0.52800000000000002</v>
      </c>
      <c r="E1144" s="99">
        <v>0.56999999999999995</v>
      </c>
      <c r="F1144" s="99">
        <v>0.71499999999999997</v>
      </c>
      <c r="G1144" s="99">
        <v>0.51800000000000002</v>
      </c>
      <c r="H1144" s="99">
        <v>0.67611783413740134</v>
      </c>
    </row>
    <row r="1145" spans="2:8" ht="15.5">
      <c r="B1145" s="64" t="s">
        <v>626</v>
      </c>
      <c r="C1145" s="99">
        <v>0.47599999999999998</v>
      </c>
      <c r="D1145" s="99">
        <v>0.45</v>
      </c>
      <c r="E1145" s="99">
        <v>0.48499999999999999</v>
      </c>
      <c r="F1145" s="99">
        <v>0.54700000000000004</v>
      </c>
      <c r="G1145" s="99">
        <v>0.38700000000000001</v>
      </c>
      <c r="H1145" s="99">
        <v>0.50168233547748642</v>
      </c>
    </row>
    <row r="1146" spans="2:8" ht="14.5">
      <c r="B1146" s="221" t="s">
        <v>1089</v>
      </c>
      <c r="C1146"/>
      <c r="D1146"/>
      <c r="E1146"/>
      <c r="F1146"/>
      <c r="G1146"/>
    </row>
    <row r="1148" spans="2:8" ht="15.5">
      <c r="B1148" s="18" t="s">
        <v>126</v>
      </c>
      <c r="C1148" s="27"/>
    </row>
    <row r="1149" spans="2:8" ht="15.5">
      <c r="B1149" s="170" t="s">
        <v>314</v>
      </c>
    </row>
    <row r="1150" spans="2:8" ht="15.5">
      <c r="B1150" s="27" t="s">
        <v>127</v>
      </c>
    </row>
    <row r="1151" spans="2:8" ht="15.5">
      <c r="B1151" s="138" t="s">
        <v>640</v>
      </c>
      <c r="C1151" s="63">
        <v>2017</v>
      </c>
      <c r="D1151" s="63">
        <v>2018</v>
      </c>
      <c r="E1151" s="63">
        <v>2019</v>
      </c>
      <c r="F1151" s="63" t="s">
        <v>335</v>
      </c>
      <c r="G1151" s="63" t="s">
        <v>256</v>
      </c>
      <c r="H1151" s="63" t="s">
        <v>257</v>
      </c>
    </row>
    <row r="1152" spans="2:8" ht="15.5">
      <c r="B1152" s="129" t="s">
        <v>1090</v>
      </c>
      <c r="C1152" s="31">
        <v>163479</v>
      </c>
      <c r="D1152" s="31">
        <v>163135</v>
      </c>
      <c r="E1152" s="31">
        <v>171232</v>
      </c>
      <c r="F1152" s="31">
        <v>184691</v>
      </c>
      <c r="G1152" s="31">
        <v>197168</v>
      </c>
      <c r="H1152" s="31">
        <v>218265</v>
      </c>
    </row>
    <row r="1153" spans="2:8" ht="15.5">
      <c r="B1153" s="105" t="s">
        <v>625</v>
      </c>
      <c r="C1153" s="65">
        <v>80236</v>
      </c>
      <c r="D1153" s="65">
        <v>79673</v>
      </c>
      <c r="E1153" s="65">
        <v>84882</v>
      </c>
      <c r="F1153" s="65">
        <v>89833</v>
      </c>
      <c r="G1153" s="65">
        <v>94686</v>
      </c>
      <c r="H1153" s="65">
        <v>105300</v>
      </c>
    </row>
    <row r="1154" spans="2:8" ht="15.5">
      <c r="B1154" s="105" t="s">
        <v>626</v>
      </c>
      <c r="C1154" s="65">
        <v>83243</v>
      </c>
      <c r="D1154" s="65">
        <v>83462</v>
      </c>
      <c r="E1154" s="65">
        <v>86350</v>
      </c>
      <c r="F1154" s="65">
        <v>94858</v>
      </c>
      <c r="G1154" s="65">
        <v>102482</v>
      </c>
      <c r="H1154" s="65">
        <v>112965</v>
      </c>
    </row>
    <row r="1155" spans="2:8" ht="15.5">
      <c r="B1155" s="223" t="s">
        <v>627</v>
      </c>
      <c r="C1155" s="227">
        <v>0.49099999999999999</v>
      </c>
      <c r="D1155" s="227">
        <v>0.48799999999999999</v>
      </c>
      <c r="E1155" s="227">
        <v>0.496</v>
      </c>
      <c r="F1155" s="227">
        <v>0.48599999999999999</v>
      </c>
      <c r="G1155" s="227">
        <v>0.48</v>
      </c>
      <c r="H1155" s="227">
        <v>0.48199999999999998</v>
      </c>
    </row>
    <row r="1156" spans="2:8" ht="15.5">
      <c r="B1156" s="223" t="s">
        <v>628</v>
      </c>
      <c r="C1156" s="227">
        <v>0.50900000000000001</v>
      </c>
      <c r="D1156" s="227">
        <v>0.51200000000000001</v>
      </c>
      <c r="E1156" s="227">
        <v>0.504</v>
      </c>
      <c r="F1156" s="227">
        <v>0.51400000000000001</v>
      </c>
      <c r="G1156" s="227">
        <v>0.52</v>
      </c>
      <c r="H1156" s="227">
        <v>0.51800000000000002</v>
      </c>
    </row>
    <row r="1157" spans="2:8" ht="15.5">
      <c r="B1157" s="129" t="s">
        <v>1091</v>
      </c>
      <c r="C1157" s="31">
        <v>447493</v>
      </c>
      <c r="D1157" s="31">
        <v>495150</v>
      </c>
      <c r="E1157" s="31">
        <v>560872</v>
      </c>
      <c r="F1157" s="31">
        <v>598155</v>
      </c>
      <c r="G1157" s="31">
        <v>616584</v>
      </c>
      <c r="H1157" s="31">
        <v>614834</v>
      </c>
    </row>
    <row r="1158" spans="2:8" ht="15.5">
      <c r="B1158" s="105" t="s">
        <v>625</v>
      </c>
      <c r="C1158" s="65">
        <v>206309</v>
      </c>
      <c r="D1158" s="65">
        <v>228694</v>
      </c>
      <c r="E1158" s="65">
        <v>256809</v>
      </c>
      <c r="F1158" s="65">
        <v>273381</v>
      </c>
      <c r="G1158" s="65">
        <v>278975</v>
      </c>
      <c r="H1158" s="65">
        <v>275124</v>
      </c>
    </row>
    <row r="1159" spans="2:8" ht="15.5">
      <c r="B1159" s="105" t="s">
        <v>626</v>
      </c>
      <c r="C1159" s="65">
        <v>241184</v>
      </c>
      <c r="D1159" s="65">
        <v>266456</v>
      </c>
      <c r="E1159" s="65">
        <v>304063</v>
      </c>
      <c r="F1159" s="65">
        <v>324774</v>
      </c>
      <c r="G1159" s="65">
        <v>337609</v>
      </c>
      <c r="H1159" s="65">
        <v>339710</v>
      </c>
    </row>
    <row r="1160" spans="2:8" ht="15.5">
      <c r="B1160" s="223" t="s">
        <v>627</v>
      </c>
      <c r="C1160" s="227">
        <v>0.46100000000000002</v>
      </c>
      <c r="D1160" s="227">
        <v>0.46200000000000002</v>
      </c>
      <c r="E1160" s="227">
        <v>0.45800000000000002</v>
      </c>
      <c r="F1160" s="227">
        <v>0.45700000000000002</v>
      </c>
      <c r="G1160" s="227">
        <v>0.45200000000000001</v>
      </c>
      <c r="H1160" s="227">
        <v>0.44700000000000001</v>
      </c>
    </row>
    <row r="1161" spans="2:8" ht="15.5">
      <c r="B1161" s="223" t="s">
        <v>628</v>
      </c>
      <c r="C1161" s="227">
        <v>0.53900000000000003</v>
      </c>
      <c r="D1161" s="227">
        <v>0.53800000000000003</v>
      </c>
      <c r="E1161" s="227">
        <v>0.54200000000000004</v>
      </c>
      <c r="F1161" s="227">
        <v>0.54300000000000004</v>
      </c>
      <c r="G1161" s="227">
        <v>0.54800000000000004</v>
      </c>
      <c r="H1161" s="227">
        <v>0.55300000000000005</v>
      </c>
    </row>
    <row r="1162" spans="2:8" ht="15.5">
      <c r="B1162" s="224" t="s">
        <v>1092</v>
      </c>
      <c r="C1162" s="225">
        <v>0.26800000000000002</v>
      </c>
      <c r="D1162" s="225">
        <v>0.248</v>
      </c>
      <c r="E1162" s="225">
        <v>0.23400000000000001</v>
      </c>
      <c r="F1162" s="225">
        <v>0.23599999999999999</v>
      </c>
      <c r="G1162" s="225">
        <v>0.24199999999999999</v>
      </c>
      <c r="H1162" s="225">
        <v>0.26200000000000001</v>
      </c>
    </row>
    <row r="1163" spans="2:8" ht="15.5">
      <c r="B1163" s="105" t="s">
        <v>625</v>
      </c>
      <c r="C1163" s="200">
        <v>0.28000000000000003</v>
      </c>
      <c r="D1163" s="200">
        <v>0.25800000000000001</v>
      </c>
      <c r="E1163" s="200">
        <v>0.248</v>
      </c>
      <c r="F1163" s="200">
        <v>0.247</v>
      </c>
      <c r="G1163" s="226">
        <v>0.253</v>
      </c>
      <c r="H1163" s="226">
        <v>0.27700000000000002</v>
      </c>
    </row>
    <row r="1164" spans="2:8" ht="15.5">
      <c r="B1164" s="105" t="s">
        <v>626</v>
      </c>
      <c r="C1164" s="200">
        <v>0.25700000000000001</v>
      </c>
      <c r="D1164" s="200">
        <v>0.23899999999999999</v>
      </c>
      <c r="E1164" s="200">
        <v>0.221</v>
      </c>
      <c r="F1164" s="200">
        <v>0.22600000000000001</v>
      </c>
      <c r="G1164" s="226">
        <v>0.23300000000000001</v>
      </c>
      <c r="H1164" s="226">
        <v>0.25</v>
      </c>
    </row>
    <row r="1165" spans="2:8" ht="15.5">
      <c r="B1165" s="224" t="s">
        <v>1093</v>
      </c>
      <c r="C1165" s="225">
        <v>0.73199999999999998</v>
      </c>
      <c r="D1165" s="225">
        <v>0.752</v>
      </c>
      <c r="E1165" s="225">
        <v>0.76600000000000001</v>
      </c>
      <c r="F1165" s="225">
        <v>0.76400000000000001</v>
      </c>
      <c r="G1165" s="225">
        <v>0.75800000000000001</v>
      </c>
      <c r="H1165" s="225">
        <v>0.73799999999999999</v>
      </c>
    </row>
    <row r="1166" spans="2:8" ht="15.5">
      <c r="B1166" s="105" t="s">
        <v>625</v>
      </c>
      <c r="C1166" s="200">
        <v>0.72</v>
      </c>
      <c r="D1166" s="200">
        <v>0.74199999999999999</v>
      </c>
      <c r="E1166" s="200">
        <v>0.752</v>
      </c>
      <c r="F1166" s="200">
        <v>0.753</v>
      </c>
      <c r="G1166" s="226">
        <v>0.747</v>
      </c>
      <c r="H1166" s="226">
        <v>0.72299999999999998</v>
      </c>
    </row>
    <row r="1167" spans="2:8" ht="15.5">
      <c r="B1167" s="105" t="s">
        <v>626</v>
      </c>
      <c r="C1167" s="200">
        <v>0.74299999999999999</v>
      </c>
      <c r="D1167" s="200">
        <v>0.76100000000000001</v>
      </c>
      <c r="E1167" s="200">
        <v>0.77900000000000003</v>
      </c>
      <c r="F1167" s="200">
        <v>0.77400000000000002</v>
      </c>
      <c r="G1167" s="226">
        <v>0.76700000000000002</v>
      </c>
      <c r="H1167" s="226">
        <v>0.75</v>
      </c>
    </row>
    <row r="1168" spans="2:8" ht="14.5">
      <c r="B1168" s="179" t="s">
        <v>1094</v>
      </c>
    </row>
    <row r="1170" spans="2:8" ht="15.5">
      <c r="B1170" s="27" t="s">
        <v>1095</v>
      </c>
    </row>
    <row r="1171" spans="2:8" ht="15.5">
      <c r="B1171" s="95" t="s">
        <v>640</v>
      </c>
      <c r="C1171" s="71">
        <v>2017</v>
      </c>
      <c r="D1171" s="71">
        <v>2018</v>
      </c>
      <c r="E1171" s="71">
        <v>2019</v>
      </c>
      <c r="F1171" s="71" t="s">
        <v>335</v>
      </c>
      <c r="G1171" s="71" t="s">
        <v>256</v>
      </c>
      <c r="H1171" s="71" t="s">
        <v>257</v>
      </c>
    </row>
    <row r="1172" spans="2:8" ht="15.5">
      <c r="B1172" s="96" t="s">
        <v>1090</v>
      </c>
      <c r="C1172" s="97">
        <v>111033</v>
      </c>
      <c r="D1172" s="97">
        <v>111850</v>
      </c>
      <c r="E1172" s="97">
        <v>115080</v>
      </c>
      <c r="F1172" s="97">
        <v>123290</v>
      </c>
      <c r="G1172" s="97">
        <v>139724</v>
      </c>
      <c r="H1172" s="97">
        <v>146337</v>
      </c>
    </row>
    <row r="1173" spans="2:8" ht="15.5">
      <c r="B1173" s="76" t="s">
        <v>625</v>
      </c>
      <c r="C1173" s="128">
        <v>51324</v>
      </c>
      <c r="D1173" s="128">
        <v>51147</v>
      </c>
      <c r="E1173" s="128">
        <v>52500</v>
      </c>
      <c r="F1173" s="128">
        <v>56071</v>
      </c>
      <c r="G1173" s="134">
        <v>60246</v>
      </c>
      <c r="H1173" s="134">
        <v>63424</v>
      </c>
    </row>
    <row r="1174" spans="2:8" ht="15.5">
      <c r="B1174" s="76" t="s">
        <v>626</v>
      </c>
      <c r="C1174" s="128">
        <v>59709</v>
      </c>
      <c r="D1174" s="128">
        <v>60703</v>
      </c>
      <c r="E1174" s="128">
        <v>62580</v>
      </c>
      <c r="F1174" s="128">
        <v>67219</v>
      </c>
      <c r="G1174" s="134">
        <v>79478</v>
      </c>
      <c r="H1174" s="134">
        <v>82913</v>
      </c>
    </row>
    <row r="1175" spans="2:8" ht="15.5">
      <c r="B1175" s="109" t="s">
        <v>627</v>
      </c>
      <c r="C1175" s="118">
        <v>0.46200000000000002</v>
      </c>
      <c r="D1175" s="118">
        <v>0.45700000000000002</v>
      </c>
      <c r="E1175" s="118">
        <v>0.45600000000000002</v>
      </c>
      <c r="F1175" s="118">
        <v>0.45500000000000002</v>
      </c>
      <c r="G1175" s="228">
        <v>0.43099999999999999</v>
      </c>
      <c r="H1175" s="228">
        <v>0.433</v>
      </c>
    </row>
    <row r="1176" spans="2:8" ht="15.5">
      <c r="B1176" s="109" t="s">
        <v>628</v>
      </c>
      <c r="C1176" s="118">
        <v>0.53800000000000003</v>
      </c>
      <c r="D1176" s="118">
        <v>0.54300000000000004</v>
      </c>
      <c r="E1176" s="118">
        <v>0.54400000000000004</v>
      </c>
      <c r="F1176" s="118">
        <v>0.54500000000000004</v>
      </c>
      <c r="G1176" s="228">
        <v>0.56899999999999995</v>
      </c>
      <c r="H1176" s="228">
        <v>0.56699999999999995</v>
      </c>
    </row>
    <row r="1177" spans="2:8" ht="15.5">
      <c r="B1177" s="96" t="s">
        <v>645</v>
      </c>
      <c r="C1177" s="97">
        <v>31247</v>
      </c>
      <c r="D1177" s="97">
        <v>31777</v>
      </c>
      <c r="E1177" s="97">
        <v>32654</v>
      </c>
      <c r="F1177" s="97">
        <v>36681</v>
      </c>
      <c r="G1177" s="97">
        <v>40009</v>
      </c>
      <c r="H1177" s="97">
        <v>46129</v>
      </c>
    </row>
    <row r="1178" spans="2:8" ht="15.5">
      <c r="B1178" s="76" t="s">
        <v>625</v>
      </c>
      <c r="C1178" s="128">
        <v>15058</v>
      </c>
      <c r="D1178" s="128">
        <v>15021</v>
      </c>
      <c r="E1178" s="128">
        <v>15344</v>
      </c>
      <c r="F1178" s="128">
        <v>17053</v>
      </c>
      <c r="G1178" s="134">
        <v>17669</v>
      </c>
      <c r="H1178" s="134">
        <v>20595</v>
      </c>
    </row>
    <row r="1179" spans="2:8" ht="15.5">
      <c r="B1179" s="76" t="s">
        <v>626</v>
      </c>
      <c r="C1179" s="128">
        <v>16189</v>
      </c>
      <c r="D1179" s="128">
        <v>16756</v>
      </c>
      <c r="E1179" s="128">
        <v>17310</v>
      </c>
      <c r="F1179" s="128">
        <v>19628</v>
      </c>
      <c r="G1179" s="134">
        <v>22340</v>
      </c>
      <c r="H1179" s="134">
        <v>25534</v>
      </c>
    </row>
    <row r="1180" spans="2:8" ht="31">
      <c r="B1180" s="96" t="s">
        <v>646</v>
      </c>
      <c r="C1180" s="97">
        <v>52663</v>
      </c>
      <c r="D1180" s="97">
        <v>52673</v>
      </c>
      <c r="E1180" s="97">
        <v>54965</v>
      </c>
      <c r="F1180" s="97">
        <v>55778</v>
      </c>
      <c r="G1180" s="97">
        <v>63742</v>
      </c>
      <c r="H1180" s="97">
        <v>67257</v>
      </c>
    </row>
    <row r="1181" spans="2:8" ht="15.5">
      <c r="B1181" s="76" t="s">
        <v>625</v>
      </c>
      <c r="C1181" s="128">
        <v>22194</v>
      </c>
      <c r="D1181" s="128">
        <v>21734</v>
      </c>
      <c r="E1181" s="128">
        <v>22506</v>
      </c>
      <c r="F1181" s="128">
        <v>22987</v>
      </c>
      <c r="G1181" s="134">
        <v>26187</v>
      </c>
      <c r="H1181" s="134">
        <v>27606</v>
      </c>
    </row>
    <row r="1182" spans="2:8" ht="15.5">
      <c r="B1182" s="76" t="s">
        <v>626</v>
      </c>
      <c r="C1182" s="128">
        <v>30469</v>
      </c>
      <c r="D1182" s="128">
        <v>30939</v>
      </c>
      <c r="E1182" s="128">
        <v>32459</v>
      </c>
      <c r="F1182" s="128">
        <v>32791</v>
      </c>
      <c r="G1182" s="134">
        <v>37555</v>
      </c>
      <c r="H1182" s="134">
        <v>39651</v>
      </c>
    </row>
    <row r="1183" spans="2:8" ht="15.5">
      <c r="B1183" s="96" t="s">
        <v>647</v>
      </c>
      <c r="C1183" s="97">
        <v>27123</v>
      </c>
      <c r="D1183" s="97">
        <v>27400</v>
      </c>
      <c r="E1183" s="97">
        <v>27461</v>
      </c>
      <c r="F1183" s="97">
        <v>30831</v>
      </c>
      <c r="G1183" s="97">
        <v>35973</v>
      </c>
      <c r="H1183" s="97">
        <v>32951</v>
      </c>
    </row>
    <row r="1184" spans="2:8" ht="15.5">
      <c r="B1184" s="76" t="s">
        <v>625</v>
      </c>
      <c r="C1184" s="128">
        <v>14072</v>
      </c>
      <c r="D1184" s="128">
        <v>14392</v>
      </c>
      <c r="E1184" s="128">
        <v>14650</v>
      </c>
      <c r="F1184" s="128">
        <v>16031</v>
      </c>
      <c r="G1184" s="134">
        <v>16390</v>
      </c>
      <c r="H1184" s="134">
        <v>15223</v>
      </c>
    </row>
    <row r="1185" spans="2:8" ht="15.5">
      <c r="B1185" s="76" t="s">
        <v>626</v>
      </c>
      <c r="C1185" s="128">
        <v>13051</v>
      </c>
      <c r="D1185" s="128">
        <v>13008</v>
      </c>
      <c r="E1185" s="128">
        <v>12811</v>
      </c>
      <c r="F1185" s="128">
        <v>14800</v>
      </c>
      <c r="G1185" s="134">
        <v>19583</v>
      </c>
      <c r="H1185" s="134">
        <v>17728</v>
      </c>
    </row>
    <row r="1186" spans="2:8" ht="14">
      <c r="B1186" s="133" t="s">
        <v>419</v>
      </c>
    </row>
    <row r="1187" spans="2:8" ht="15.5">
      <c r="B1187" s="170" t="s">
        <v>314</v>
      </c>
    </row>
    <row r="1188" spans="2:8" ht="15.5">
      <c r="B1188" s="49" t="s">
        <v>1096</v>
      </c>
      <c r="C1188"/>
      <c r="D1188"/>
      <c r="E1188"/>
      <c r="F1188"/>
      <c r="G1188"/>
    </row>
    <row r="1189" spans="2:8" ht="14">
      <c r="B1189" s="229" t="s">
        <v>640</v>
      </c>
      <c r="C1189" s="161">
        <v>2017</v>
      </c>
      <c r="D1189" s="161">
        <v>2018</v>
      </c>
      <c r="E1189" s="161">
        <v>2019</v>
      </c>
      <c r="F1189" s="161" t="s">
        <v>335</v>
      </c>
      <c r="G1189" s="161" t="s">
        <v>256</v>
      </c>
      <c r="H1189" s="161" t="s">
        <v>257</v>
      </c>
    </row>
    <row r="1190" spans="2:8" ht="14">
      <c r="B1190" s="230" t="s">
        <v>648</v>
      </c>
      <c r="C1190" s="163">
        <v>52446</v>
      </c>
      <c r="D1190" s="163">
        <v>51285</v>
      </c>
      <c r="E1190" s="163">
        <v>56152</v>
      </c>
      <c r="F1190" s="163">
        <v>61401</v>
      </c>
      <c r="G1190" s="163">
        <v>57444</v>
      </c>
      <c r="H1190" s="163">
        <v>71928</v>
      </c>
    </row>
    <row r="1191" spans="2:8" ht="14">
      <c r="B1191" s="231" t="s">
        <v>625</v>
      </c>
      <c r="C1191" s="91">
        <v>28912</v>
      </c>
      <c r="D1191" s="91">
        <v>28526</v>
      </c>
      <c r="E1191" s="91">
        <v>32382</v>
      </c>
      <c r="F1191" s="91">
        <v>33762</v>
      </c>
      <c r="G1191" s="91">
        <v>34440</v>
      </c>
      <c r="H1191" s="91">
        <v>41876</v>
      </c>
    </row>
    <row r="1192" spans="2:8" ht="14">
      <c r="B1192" s="231" t="s">
        <v>626</v>
      </c>
      <c r="C1192" s="91">
        <v>23534</v>
      </c>
      <c r="D1192" s="91">
        <v>22759</v>
      </c>
      <c r="E1192" s="91">
        <v>23770</v>
      </c>
      <c r="F1192" s="91">
        <v>27639</v>
      </c>
      <c r="G1192" s="91">
        <v>23004</v>
      </c>
      <c r="H1192" s="91">
        <v>30052</v>
      </c>
    </row>
    <row r="1193" spans="2:8" ht="14.5">
      <c r="B1193" s="232" t="s">
        <v>627</v>
      </c>
      <c r="C1193" s="317">
        <v>0.55100000000000005</v>
      </c>
      <c r="D1193" s="317">
        <v>0.55600000000000005</v>
      </c>
      <c r="E1193" s="317">
        <v>0.57699999999999996</v>
      </c>
      <c r="F1193" s="317">
        <v>0.55000000000000004</v>
      </c>
      <c r="G1193" s="317">
        <v>0.6</v>
      </c>
      <c r="H1193" s="317">
        <v>0.58199999999999996</v>
      </c>
    </row>
    <row r="1194" spans="2:8" ht="14.5">
      <c r="B1194" s="232" t="s">
        <v>628</v>
      </c>
      <c r="C1194" s="317">
        <v>0.44900000000000001</v>
      </c>
      <c r="D1194" s="317">
        <v>0.44400000000000001</v>
      </c>
      <c r="E1194" s="317">
        <v>0.42299999999999999</v>
      </c>
      <c r="F1194" s="317">
        <v>0.45</v>
      </c>
      <c r="G1194" s="317">
        <v>0.4</v>
      </c>
      <c r="H1194" s="317">
        <v>0.41799999999999998</v>
      </c>
    </row>
    <row r="1195" spans="2:8" ht="14">
      <c r="B1195" s="230" t="s">
        <v>645</v>
      </c>
      <c r="C1195" s="163">
        <v>14945</v>
      </c>
      <c r="D1195" s="163">
        <v>15135</v>
      </c>
      <c r="E1195" s="163">
        <v>17925</v>
      </c>
      <c r="F1195" s="163">
        <v>18041</v>
      </c>
      <c r="G1195" s="163">
        <v>16475</v>
      </c>
      <c r="H1195" s="163">
        <v>20136</v>
      </c>
    </row>
    <row r="1196" spans="2:8" ht="14">
      <c r="B1196" s="231" t="s">
        <v>625</v>
      </c>
      <c r="C1196" s="91">
        <v>8876</v>
      </c>
      <c r="D1196" s="91">
        <v>8854</v>
      </c>
      <c r="E1196" s="91">
        <v>11849</v>
      </c>
      <c r="F1196" s="91">
        <v>10817</v>
      </c>
      <c r="G1196" s="233">
        <v>10167</v>
      </c>
      <c r="H1196" s="233">
        <v>11986</v>
      </c>
    </row>
    <row r="1197" spans="2:8" ht="14">
      <c r="B1197" s="231" t="s">
        <v>626</v>
      </c>
      <c r="C1197" s="91">
        <v>6069</v>
      </c>
      <c r="D1197" s="91">
        <v>6281</v>
      </c>
      <c r="E1197" s="91">
        <v>6076</v>
      </c>
      <c r="F1197" s="91">
        <v>7224</v>
      </c>
      <c r="G1197" s="233">
        <v>6308</v>
      </c>
      <c r="H1197" s="233">
        <v>8150</v>
      </c>
    </row>
    <row r="1198" spans="2:8" ht="14">
      <c r="B1198" s="230" t="s">
        <v>646</v>
      </c>
      <c r="C1198" s="163">
        <v>11100</v>
      </c>
      <c r="D1198" s="163">
        <v>10777</v>
      </c>
      <c r="E1198" s="163">
        <v>10705</v>
      </c>
      <c r="F1198" s="163">
        <v>12807</v>
      </c>
      <c r="G1198" s="163">
        <v>13021</v>
      </c>
      <c r="H1198" s="163">
        <v>17606</v>
      </c>
    </row>
    <row r="1199" spans="2:8" ht="14">
      <c r="B1199" s="231" t="s">
        <v>625</v>
      </c>
      <c r="C1199" s="91">
        <v>5893</v>
      </c>
      <c r="D1199" s="91">
        <v>5713</v>
      </c>
      <c r="E1199" s="91">
        <v>5637</v>
      </c>
      <c r="F1199" s="91">
        <v>6502</v>
      </c>
      <c r="G1199" s="233">
        <v>7395</v>
      </c>
      <c r="H1199" s="233">
        <v>10058</v>
      </c>
    </row>
    <row r="1200" spans="2:8" ht="14">
      <c r="B1200" s="231" t="s">
        <v>626</v>
      </c>
      <c r="C1200" s="91">
        <v>5207</v>
      </c>
      <c r="D1200" s="91">
        <v>5064</v>
      </c>
      <c r="E1200" s="91">
        <v>5068</v>
      </c>
      <c r="F1200" s="91">
        <v>6305</v>
      </c>
      <c r="G1200" s="233">
        <v>5626</v>
      </c>
      <c r="H1200" s="233">
        <v>7548</v>
      </c>
    </row>
    <row r="1201" spans="2:8" ht="14">
      <c r="B1201" s="230" t="s">
        <v>647</v>
      </c>
      <c r="C1201" s="163">
        <v>26401</v>
      </c>
      <c r="D1201" s="163">
        <v>25373</v>
      </c>
      <c r="E1201" s="163">
        <v>27522</v>
      </c>
      <c r="F1201" s="163">
        <v>30553</v>
      </c>
      <c r="G1201" s="163">
        <v>27948</v>
      </c>
      <c r="H1201" s="163">
        <v>34186</v>
      </c>
    </row>
    <row r="1202" spans="2:8" ht="14">
      <c r="B1202" s="231" t="s">
        <v>625</v>
      </c>
      <c r="C1202" s="91">
        <v>14143</v>
      </c>
      <c r="D1202" s="91">
        <v>13959</v>
      </c>
      <c r="E1202" s="91">
        <v>14896</v>
      </c>
      <c r="F1202" s="91">
        <v>16443</v>
      </c>
      <c r="G1202" s="233">
        <v>16878</v>
      </c>
      <c r="H1202" s="233">
        <v>19832</v>
      </c>
    </row>
    <row r="1203" spans="2:8" ht="14">
      <c r="B1203" s="231" t="s">
        <v>626</v>
      </c>
      <c r="C1203" s="91">
        <v>12258</v>
      </c>
      <c r="D1203" s="91">
        <v>11414</v>
      </c>
      <c r="E1203" s="91">
        <v>12626</v>
      </c>
      <c r="F1203" s="91">
        <v>14110</v>
      </c>
      <c r="G1203" s="233">
        <v>11070</v>
      </c>
      <c r="H1203" s="233">
        <v>14354</v>
      </c>
    </row>
    <row r="1204" spans="2:8" ht="14">
      <c r="B1204" s="133" t="s">
        <v>419</v>
      </c>
    </row>
    <row r="1205" spans="2:8" ht="14">
      <c r="B1205" s="133"/>
    </row>
    <row r="2080" spans="2:2" ht="15.5">
      <c r="B2080" s="170" t="s">
        <v>314</v>
      </c>
    </row>
    <row r="2237" spans="2:3" ht="15.5">
      <c r="B2237" s="170" t="s">
        <v>314</v>
      </c>
    </row>
    <row r="2239" spans="2:3" ht="15.5">
      <c r="C2239" s="170" t="s">
        <v>314</v>
      </c>
    </row>
  </sheetData>
  <mergeCells count="92">
    <mergeCell ref="F136:H136"/>
    <mergeCell ref="I639:J639"/>
    <mergeCell ref="I650:J650"/>
    <mergeCell ref="I661:J661"/>
    <mergeCell ref="I672:J672"/>
    <mergeCell ref="I593:J593"/>
    <mergeCell ref="I597:J597"/>
    <mergeCell ref="I605:J605"/>
    <mergeCell ref="I609:J609"/>
    <mergeCell ref="I613:J613"/>
    <mergeCell ref="C621:J621"/>
    <mergeCell ref="H622:J622"/>
    <mergeCell ref="H623:J623"/>
    <mergeCell ref="C613:H613"/>
    <mergeCell ref="C609:H609"/>
    <mergeCell ref="B1090:H1090"/>
    <mergeCell ref="B1094:H1094"/>
    <mergeCell ref="I705:J705"/>
    <mergeCell ref="F1030:H1030"/>
    <mergeCell ref="F1016:H1016"/>
    <mergeCell ref="H624:J624"/>
    <mergeCell ref="I625:J625"/>
    <mergeCell ref="B384:B386"/>
    <mergeCell ref="B387:B389"/>
    <mergeCell ref="B1016:B1017"/>
    <mergeCell ref="I769:J769"/>
    <mergeCell ref="C769:H769"/>
    <mergeCell ref="I683:J683"/>
    <mergeCell ref="I736:J736"/>
    <mergeCell ref="I729:J729"/>
    <mergeCell ref="I747:J747"/>
    <mergeCell ref="I758:J758"/>
    <mergeCell ref="I694:J694"/>
    <mergeCell ref="C593:H593"/>
    <mergeCell ref="C359:C360"/>
    <mergeCell ref="D359:K359"/>
    <mergeCell ref="B361:B363"/>
    <mergeCell ref="B364:B366"/>
    <mergeCell ref="B367:B369"/>
    <mergeCell ref="B303:B305"/>
    <mergeCell ref="B309:B311"/>
    <mergeCell ref="B312:B314"/>
    <mergeCell ref="B359:B360"/>
    <mergeCell ref="B370:B372"/>
    <mergeCell ref="C136:E136"/>
    <mergeCell ref="B306:B308"/>
    <mergeCell ref="B240:B242"/>
    <mergeCell ref="B243:B245"/>
    <mergeCell ref="B246:B248"/>
    <mergeCell ref="B253:B255"/>
    <mergeCell ref="B256:B258"/>
    <mergeCell ref="B259:B261"/>
    <mergeCell ref="B237:B239"/>
    <mergeCell ref="B136:B137"/>
    <mergeCell ref="B231:B233"/>
    <mergeCell ref="B234:B236"/>
    <mergeCell ref="B266:B268"/>
    <mergeCell ref="B269:B271"/>
    <mergeCell ref="B272:B274"/>
    <mergeCell ref="B300:B302"/>
    <mergeCell ref="B1127:I1127"/>
    <mergeCell ref="B1102:I1102"/>
    <mergeCell ref="B1106:I1106"/>
    <mergeCell ref="B1110:I1110"/>
    <mergeCell ref="C672:H672"/>
    <mergeCell ref="C683:H683"/>
    <mergeCell ref="C705:H705"/>
    <mergeCell ref="C736:H736"/>
    <mergeCell ref="C729:H729"/>
    <mergeCell ref="C694:H694"/>
    <mergeCell ref="B709:H709"/>
    <mergeCell ref="C758:H758"/>
    <mergeCell ref="C747:H747"/>
    <mergeCell ref="B1030:B1031"/>
    <mergeCell ref="C1016:E1016"/>
    <mergeCell ref="C1030:E1030"/>
    <mergeCell ref="D376:K376"/>
    <mergeCell ref="B1086:H1086"/>
    <mergeCell ref="I630:J630"/>
    <mergeCell ref="B1119:I1119"/>
    <mergeCell ref="B1123:I1123"/>
    <mergeCell ref="C661:H661"/>
    <mergeCell ref="C650:H650"/>
    <mergeCell ref="C630:H630"/>
    <mergeCell ref="B376:B377"/>
    <mergeCell ref="C376:C377"/>
    <mergeCell ref="B378:B380"/>
    <mergeCell ref="B381:B383"/>
    <mergeCell ref="C605:H605"/>
    <mergeCell ref="C597:H597"/>
    <mergeCell ref="C625:H625"/>
    <mergeCell ref="C639:H639"/>
  </mergeCells>
  <conditionalFormatting sqref="H211:H224">
    <cfRule type="cellIs" dxfId="13" priority="12" operator="lessThan">
      <formula>0</formula>
    </cfRule>
  </conditionalFormatting>
  <conditionalFormatting sqref="H1075:H1079">
    <cfRule type="cellIs" dxfId="12" priority="11" operator="lessThan">
      <formula>0</formula>
    </cfRule>
  </conditionalFormatting>
  <conditionalFormatting sqref="C521:I523 C524:E524 G524:I524">
    <cfRule type="cellIs" dxfId="11" priority="10" operator="lessThan">
      <formula>0</formula>
    </cfRule>
  </conditionalFormatting>
  <conditionalFormatting sqref="C525:E530">
    <cfRule type="cellIs" dxfId="10" priority="9" operator="lessThan">
      <formula>0</formula>
    </cfRule>
  </conditionalFormatting>
  <conditionalFormatting sqref="F524:F530">
    <cfRule type="cellIs" dxfId="9" priority="8" operator="lessThan">
      <formula>0</formula>
    </cfRule>
  </conditionalFormatting>
  <conditionalFormatting sqref="H525">
    <cfRule type="cellIs" dxfId="8" priority="6" operator="lessThan">
      <formula>0</formula>
    </cfRule>
  </conditionalFormatting>
  <conditionalFormatting sqref="H526:H530">
    <cfRule type="cellIs" dxfId="7" priority="5" operator="lessThan">
      <formula>0</formula>
    </cfRule>
  </conditionalFormatting>
  <conditionalFormatting sqref="I525:I530">
    <cfRule type="cellIs" dxfId="6" priority="4" operator="lessThan">
      <formula>0</formula>
    </cfRule>
  </conditionalFormatting>
  <conditionalFormatting sqref="G527:G530">
    <cfRule type="cellIs" dxfId="5" priority="3" operator="lessThan">
      <formula>0</formula>
    </cfRule>
  </conditionalFormatting>
  <conditionalFormatting sqref="G526">
    <cfRule type="cellIs" dxfId="4" priority="2" operator="lessThan">
      <formula>0</formula>
    </cfRule>
  </conditionalFormatting>
  <conditionalFormatting sqref="G525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0"/>
  <sheetViews>
    <sheetView showGridLines="0" topLeftCell="C664" zoomScale="85" zoomScaleNormal="85" workbookViewId="0">
      <selection activeCell="G531" sqref="G531"/>
    </sheetView>
  </sheetViews>
  <sheetFormatPr defaultColWidth="9.1796875" defaultRowHeight="15" customHeight="1"/>
  <cols>
    <col min="1" max="1" width="9.1796875" style="17"/>
    <col min="2" max="2" width="38.453125" style="17" customWidth="1"/>
    <col min="3" max="3" width="14.453125" style="17" customWidth="1"/>
    <col min="4" max="4" width="14.1796875" style="17" customWidth="1"/>
    <col min="5" max="5" width="12.7265625" style="17" customWidth="1"/>
    <col min="6" max="6" width="12.36328125" style="17" customWidth="1"/>
    <col min="7" max="7" width="11.453125" style="17" customWidth="1"/>
    <col min="8" max="8" width="11.1796875" style="17" customWidth="1"/>
    <col min="9" max="9" width="9.1796875" style="17"/>
    <col min="10" max="15" width="9.7265625" style="17" bestFit="1" customWidth="1"/>
    <col min="16" max="16384" width="9.1796875" style="17"/>
  </cols>
  <sheetData>
    <row r="1" spans="1:8" ht="15" customHeight="1">
      <c r="A1" s="27" t="s">
        <v>314</v>
      </c>
      <c r="B1" s="522"/>
      <c r="C1" s="522"/>
      <c r="D1" s="522"/>
      <c r="E1" s="522"/>
      <c r="F1" s="522"/>
      <c r="G1" s="522"/>
      <c r="H1" s="522"/>
    </row>
    <row r="2" spans="1:8" ht="15" customHeight="1">
      <c r="A2" s="27" t="s">
        <v>314</v>
      </c>
      <c r="B2" s="26" t="s">
        <v>130</v>
      </c>
    </row>
    <row r="3" spans="1:8" ht="15" customHeight="1">
      <c r="A3" s="27" t="s">
        <v>314</v>
      </c>
      <c r="C3" s="5"/>
      <c r="D3" s="4"/>
    </row>
    <row r="4" spans="1:8" ht="15" customHeight="1">
      <c r="A4" s="27" t="s">
        <v>314</v>
      </c>
      <c r="B4" s="25" t="s">
        <v>131</v>
      </c>
    </row>
    <row r="5" spans="1:8" ht="15" customHeight="1">
      <c r="A5" s="27" t="s">
        <v>314</v>
      </c>
      <c r="B5" s="5"/>
      <c r="C5" s="6"/>
    </row>
    <row r="6" spans="1:8" ht="15" customHeight="1">
      <c r="A6" s="27" t="s">
        <v>314</v>
      </c>
      <c r="B6" s="6" t="s">
        <v>132</v>
      </c>
    </row>
    <row r="7" spans="1:8" ht="15" customHeight="1">
      <c r="A7" s="27" t="s">
        <v>314</v>
      </c>
      <c r="B7" s="138" t="s">
        <v>640</v>
      </c>
      <c r="C7" s="63">
        <v>2017</v>
      </c>
      <c r="D7" s="63">
        <v>2018</v>
      </c>
      <c r="E7" s="63">
        <v>2019</v>
      </c>
      <c r="F7" s="63" t="s">
        <v>335</v>
      </c>
      <c r="G7" s="63" t="s">
        <v>256</v>
      </c>
      <c r="H7" s="63" t="s">
        <v>257</v>
      </c>
    </row>
    <row r="8" spans="1:8" ht="15" customHeight="1">
      <c r="A8" s="27" t="s">
        <v>314</v>
      </c>
      <c r="B8" s="129" t="s">
        <v>1097</v>
      </c>
      <c r="C8" s="31">
        <v>93691</v>
      </c>
      <c r="D8" s="31">
        <v>94437</v>
      </c>
      <c r="E8" s="31">
        <v>97731</v>
      </c>
      <c r="F8" s="31">
        <v>121145</v>
      </c>
      <c r="G8" s="31">
        <v>125621</v>
      </c>
      <c r="H8" s="31">
        <v>138038</v>
      </c>
    </row>
    <row r="9" spans="1:8" ht="15" customHeight="1">
      <c r="A9" s="27" t="s">
        <v>314</v>
      </c>
      <c r="B9" s="105" t="s">
        <v>625</v>
      </c>
      <c r="C9" s="144">
        <v>51422</v>
      </c>
      <c r="D9" s="144">
        <v>51403</v>
      </c>
      <c r="E9" s="144">
        <v>52435</v>
      </c>
      <c r="F9" s="144">
        <v>61545</v>
      </c>
      <c r="G9" s="144">
        <v>64414</v>
      </c>
      <c r="H9" s="144">
        <v>70430</v>
      </c>
    </row>
    <row r="10" spans="1:8" ht="15" customHeight="1">
      <c r="A10" s="27" t="s">
        <v>314</v>
      </c>
      <c r="B10" s="105" t="s">
        <v>626</v>
      </c>
      <c r="C10" s="144">
        <v>42269</v>
      </c>
      <c r="D10" s="144">
        <v>43034</v>
      </c>
      <c r="E10" s="144">
        <v>45296</v>
      </c>
      <c r="F10" s="144">
        <v>59600</v>
      </c>
      <c r="G10" s="144">
        <v>61207</v>
      </c>
      <c r="H10" s="144">
        <v>67608</v>
      </c>
    </row>
    <row r="11" spans="1:8" ht="15" customHeight="1">
      <c r="A11" s="27" t="s">
        <v>314</v>
      </c>
      <c r="B11" s="106" t="s">
        <v>1098</v>
      </c>
      <c r="C11" s="234">
        <v>0.54900000000000004</v>
      </c>
      <c r="D11" s="234">
        <v>0.54400000000000004</v>
      </c>
      <c r="E11" s="234">
        <v>0.53700000000000003</v>
      </c>
      <c r="F11" s="234">
        <v>0.50800000000000001</v>
      </c>
      <c r="G11" s="234">
        <v>0.51300000000000001</v>
      </c>
      <c r="H11" s="234">
        <v>0.51022182297628194</v>
      </c>
    </row>
    <row r="12" spans="1:8" ht="15" customHeight="1">
      <c r="A12" s="27" t="s">
        <v>314</v>
      </c>
      <c r="B12" s="106" t="s">
        <v>1099</v>
      </c>
      <c r="C12" s="234">
        <v>0.45100000000000001</v>
      </c>
      <c r="D12" s="234">
        <v>0.45600000000000002</v>
      </c>
      <c r="E12" s="234">
        <v>0.46300000000000002</v>
      </c>
      <c r="F12" s="234">
        <v>0.49199999999999999</v>
      </c>
      <c r="G12" s="234">
        <v>0.48699999999999999</v>
      </c>
      <c r="H12" s="234">
        <v>0.48977817702371812</v>
      </c>
    </row>
    <row r="13" spans="1:8" ht="15" customHeight="1">
      <c r="A13" s="27" t="s">
        <v>314</v>
      </c>
      <c r="B13" s="129" t="s">
        <v>1100</v>
      </c>
      <c r="C13" s="31">
        <v>27125</v>
      </c>
      <c r="D13" s="31">
        <v>27392</v>
      </c>
      <c r="E13" s="31">
        <v>28454</v>
      </c>
      <c r="F13" s="31">
        <v>42522</v>
      </c>
      <c r="G13" s="31">
        <v>45849</v>
      </c>
      <c r="H13" s="31">
        <v>50287</v>
      </c>
    </row>
    <row r="14" spans="1:8" ht="15" customHeight="1">
      <c r="A14" s="27" t="s">
        <v>314</v>
      </c>
      <c r="B14" s="105" t="s">
        <v>625</v>
      </c>
      <c r="C14" s="144">
        <v>15687</v>
      </c>
      <c r="D14" s="144">
        <v>15788</v>
      </c>
      <c r="E14" s="144">
        <v>16144</v>
      </c>
      <c r="F14" s="144">
        <v>22045</v>
      </c>
      <c r="G14" s="144">
        <v>23893</v>
      </c>
      <c r="H14" s="144">
        <v>26035</v>
      </c>
    </row>
    <row r="15" spans="1:8" ht="15" customHeight="1">
      <c r="A15" s="27" t="s">
        <v>314</v>
      </c>
      <c r="B15" s="105" t="s">
        <v>626</v>
      </c>
      <c r="C15" s="144">
        <v>11438</v>
      </c>
      <c r="D15" s="144">
        <v>11604</v>
      </c>
      <c r="E15" s="144">
        <v>12310</v>
      </c>
      <c r="F15" s="144">
        <v>20477</v>
      </c>
      <c r="G15" s="144">
        <v>21956</v>
      </c>
      <c r="H15" s="144">
        <v>24252</v>
      </c>
    </row>
    <row r="16" spans="1:8" ht="15" customHeight="1">
      <c r="A16" s="27" t="s">
        <v>314</v>
      </c>
      <c r="B16" s="129" t="s">
        <v>1101</v>
      </c>
      <c r="C16" s="31">
        <v>47698</v>
      </c>
      <c r="D16" s="31">
        <v>48568</v>
      </c>
      <c r="E16" s="31">
        <v>49345</v>
      </c>
      <c r="F16" s="31">
        <v>58576</v>
      </c>
      <c r="G16" s="31">
        <v>61463</v>
      </c>
      <c r="H16" s="31">
        <v>66567</v>
      </c>
    </row>
    <row r="17" spans="1:10" ht="15" customHeight="1">
      <c r="A17" s="27" t="s">
        <v>314</v>
      </c>
      <c r="B17" s="105" t="s">
        <v>625</v>
      </c>
      <c r="C17" s="144">
        <v>24545</v>
      </c>
      <c r="D17" s="144">
        <v>24730</v>
      </c>
      <c r="E17" s="144">
        <v>24803</v>
      </c>
      <c r="F17" s="144">
        <v>27970</v>
      </c>
      <c r="G17" s="144">
        <v>29814</v>
      </c>
      <c r="H17" s="144">
        <v>32045</v>
      </c>
    </row>
    <row r="18" spans="1:10" ht="15" customHeight="1">
      <c r="A18" s="27" t="s">
        <v>314</v>
      </c>
      <c r="B18" s="105" t="s">
        <v>626</v>
      </c>
      <c r="C18" s="144">
        <v>23153</v>
      </c>
      <c r="D18" s="144">
        <v>23838</v>
      </c>
      <c r="E18" s="144">
        <v>24542</v>
      </c>
      <c r="F18" s="144">
        <v>30606</v>
      </c>
      <c r="G18" s="144">
        <v>31649</v>
      </c>
      <c r="H18" s="144">
        <v>34522</v>
      </c>
    </row>
    <row r="19" spans="1:10" ht="15" customHeight="1">
      <c r="A19" s="27" t="s">
        <v>314</v>
      </c>
      <c r="B19" s="129" t="s">
        <v>1102</v>
      </c>
      <c r="C19" s="31">
        <v>18868</v>
      </c>
      <c r="D19" s="31">
        <v>18477</v>
      </c>
      <c r="E19" s="31">
        <v>19932</v>
      </c>
      <c r="F19" s="31">
        <v>20047</v>
      </c>
      <c r="G19" s="31">
        <v>18309</v>
      </c>
      <c r="H19" s="31">
        <v>21184</v>
      </c>
    </row>
    <row r="20" spans="1:10" ht="15" customHeight="1">
      <c r="A20" s="27" t="s">
        <v>314</v>
      </c>
      <c r="B20" s="105" t="s">
        <v>625</v>
      </c>
      <c r="C20" s="144">
        <v>11190</v>
      </c>
      <c r="D20" s="144">
        <v>10885</v>
      </c>
      <c r="E20" s="144">
        <v>11488</v>
      </c>
      <c r="F20" s="144">
        <v>11530</v>
      </c>
      <c r="G20" s="144">
        <v>10707</v>
      </c>
      <c r="H20" s="144">
        <v>12350</v>
      </c>
    </row>
    <row r="21" spans="1:10" ht="15" customHeight="1">
      <c r="A21" s="27" t="s">
        <v>314</v>
      </c>
      <c r="B21" s="105" t="s">
        <v>626</v>
      </c>
      <c r="C21" s="144">
        <v>7678</v>
      </c>
      <c r="D21" s="144">
        <v>7592</v>
      </c>
      <c r="E21" s="144">
        <v>8444</v>
      </c>
      <c r="F21" s="144">
        <v>8517</v>
      </c>
      <c r="G21" s="144">
        <v>7602</v>
      </c>
      <c r="H21" s="144">
        <v>8834</v>
      </c>
    </row>
    <row r="22" spans="1:10" ht="15" customHeight="1">
      <c r="A22" s="27" t="s">
        <v>314</v>
      </c>
      <c r="B22" s="13" t="s">
        <v>1103</v>
      </c>
    </row>
    <row r="23" spans="1:10" ht="15" customHeight="1">
      <c r="A23" s="27" t="s">
        <v>314</v>
      </c>
    </row>
    <row r="24" spans="1:10" ht="15" customHeight="1">
      <c r="A24" s="27" t="s">
        <v>314</v>
      </c>
      <c r="B24" s="6" t="s">
        <v>133</v>
      </c>
    </row>
    <row r="25" spans="1:10" ht="15" customHeight="1">
      <c r="A25" s="27" t="s">
        <v>314</v>
      </c>
      <c r="B25" s="95" t="s">
        <v>640</v>
      </c>
      <c r="C25" s="71">
        <v>2017</v>
      </c>
      <c r="D25" s="71">
        <v>2018</v>
      </c>
      <c r="E25" s="71">
        <v>2019</v>
      </c>
      <c r="F25" s="71" t="s">
        <v>335</v>
      </c>
      <c r="G25" s="71" t="s">
        <v>256</v>
      </c>
      <c r="H25" s="71" t="s">
        <v>257</v>
      </c>
    </row>
    <row r="26" spans="1:10" ht="15" customHeight="1">
      <c r="A26" s="27" t="s">
        <v>314</v>
      </c>
      <c r="B26" s="96" t="s">
        <v>1097</v>
      </c>
      <c r="C26" s="97">
        <v>81133</v>
      </c>
      <c r="D26" s="97">
        <v>82030</v>
      </c>
      <c r="E26" s="97">
        <v>84969</v>
      </c>
      <c r="F26" s="97">
        <v>109178</v>
      </c>
      <c r="G26" s="97">
        <v>113288</v>
      </c>
      <c r="H26" s="524">
        <v>125462</v>
      </c>
    </row>
    <row r="27" spans="1:10" ht="15" customHeight="1">
      <c r="A27" s="27" t="s">
        <v>314</v>
      </c>
      <c r="B27" s="207" t="s">
        <v>625</v>
      </c>
      <c r="C27" s="128">
        <v>42764</v>
      </c>
      <c r="D27" s="128">
        <v>42823</v>
      </c>
      <c r="E27" s="128">
        <v>43710</v>
      </c>
      <c r="F27" s="128">
        <v>53356</v>
      </c>
      <c r="G27" s="128">
        <v>56181</v>
      </c>
      <c r="H27" s="128">
        <v>62016</v>
      </c>
    </row>
    <row r="28" spans="1:10" ht="15" customHeight="1">
      <c r="A28" s="27" t="s">
        <v>314</v>
      </c>
      <c r="B28" s="207" t="s">
        <v>626</v>
      </c>
      <c r="C28" s="128">
        <v>38369</v>
      </c>
      <c r="D28" s="128">
        <v>39207</v>
      </c>
      <c r="E28" s="128">
        <v>41259</v>
      </c>
      <c r="F28" s="128">
        <v>55822</v>
      </c>
      <c r="G28" s="128">
        <v>57107</v>
      </c>
      <c r="H28" s="128">
        <v>63446</v>
      </c>
    </row>
    <row r="29" spans="1:10" ht="15" customHeight="1">
      <c r="A29" s="27" t="s">
        <v>314</v>
      </c>
      <c r="B29" s="235" t="s">
        <v>1098</v>
      </c>
      <c r="C29" s="189">
        <v>0.52700000000000002</v>
      </c>
      <c r="D29" s="189">
        <v>0.52200000000000002</v>
      </c>
      <c r="E29" s="118">
        <v>0.51400000000000001</v>
      </c>
      <c r="F29" s="118">
        <v>0.48899999999999999</v>
      </c>
      <c r="G29" s="118">
        <v>0.496</v>
      </c>
      <c r="H29" s="118">
        <v>0.49399999999999999</v>
      </c>
      <c r="J29" s="17" t="s">
        <v>704</v>
      </c>
    </row>
    <row r="30" spans="1:10" ht="15" customHeight="1">
      <c r="A30" s="27" t="s">
        <v>314</v>
      </c>
      <c r="B30" s="235" t="s">
        <v>1099</v>
      </c>
      <c r="C30" s="189">
        <v>0.47299999999999998</v>
      </c>
      <c r="D30" s="189">
        <v>0.47799999999999998</v>
      </c>
      <c r="E30" s="118">
        <v>0.48599999999999999</v>
      </c>
      <c r="F30" s="118">
        <v>0.51100000000000001</v>
      </c>
      <c r="G30" s="118">
        <v>0.504</v>
      </c>
      <c r="H30" s="118">
        <v>0.50600000000000001</v>
      </c>
    </row>
    <row r="31" spans="1:10" ht="15" customHeight="1">
      <c r="A31" s="27" t="s">
        <v>314</v>
      </c>
      <c r="B31" s="96" t="s">
        <v>1100</v>
      </c>
      <c r="C31" s="97">
        <v>22429</v>
      </c>
      <c r="D31" s="97">
        <v>22545</v>
      </c>
      <c r="E31" s="97">
        <v>23696</v>
      </c>
      <c r="F31" s="97">
        <v>37076</v>
      </c>
      <c r="G31" s="97">
        <v>40310</v>
      </c>
      <c r="H31" s="524">
        <v>44842</v>
      </c>
    </row>
    <row r="32" spans="1:10" ht="15" customHeight="1">
      <c r="A32" s="27" t="s">
        <v>314</v>
      </c>
      <c r="B32" s="207" t="s">
        <v>625</v>
      </c>
      <c r="C32" s="128">
        <v>12476</v>
      </c>
      <c r="D32" s="128">
        <v>12462</v>
      </c>
      <c r="E32" s="128">
        <v>12875</v>
      </c>
      <c r="F32" s="128">
        <v>18354</v>
      </c>
      <c r="G32" s="128">
        <v>20266</v>
      </c>
      <c r="H32" s="128">
        <v>22501</v>
      </c>
    </row>
    <row r="33" spans="1:8" ht="15" customHeight="1">
      <c r="A33" s="27" t="s">
        <v>314</v>
      </c>
      <c r="B33" s="207" t="s">
        <v>626</v>
      </c>
      <c r="C33" s="128">
        <v>9953</v>
      </c>
      <c r="D33" s="128">
        <v>10083</v>
      </c>
      <c r="E33" s="128">
        <v>10821</v>
      </c>
      <c r="F33" s="128">
        <v>18722</v>
      </c>
      <c r="G33" s="128">
        <v>20044</v>
      </c>
      <c r="H33" s="128">
        <v>22341</v>
      </c>
    </row>
    <row r="34" spans="1:8" ht="15" customHeight="1">
      <c r="A34" s="27" t="s">
        <v>314</v>
      </c>
      <c r="B34" s="96" t="s">
        <v>1101</v>
      </c>
      <c r="C34" s="97">
        <v>44595</v>
      </c>
      <c r="D34" s="97">
        <v>45238</v>
      </c>
      <c r="E34" s="97">
        <v>46109</v>
      </c>
      <c r="F34" s="97">
        <v>55469</v>
      </c>
      <c r="G34" s="97">
        <v>58090</v>
      </c>
      <c r="H34" s="524">
        <v>63248</v>
      </c>
    </row>
    <row r="35" spans="1:8" ht="15" customHeight="1">
      <c r="A35" s="27" t="s">
        <v>314</v>
      </c>
      <c r="B35" s="207" t="s">
        <v>625</v>
      </c>
      <c r="C35" s="128">
        <v>22526</v>
      </c>
      <c r="D35" s="128">
        <v>22557</v>
      </c>
      <c r="E35" s="128">
        <v>22716</v>
      </c>
      <c r="F35" s="128">
        <v>25994</v>
      </c>
      <c r="G35" s="128">
        <v>27702</v>
      </c>
      <c r="H35" s="128">
        <v>29918</v>
      </c>
    </row>
    <row r="36" spans="1:8" ht="15" customHeight="1">
      <c r="A36" s="27" t="s">
        <v>314</v>
      </c>
      <c r="B36" s="207" t="s">
        <v>626</v>
      </c>
      <c r="C36" s="128">
        <v>22069</v>
      </c>
      <c r="D36" s="128">
        <v>22681</v>
      </c>
      <c r="E36" s="128">
        <v>23393</v>
      </c>
      <c r="F36" s="128">
        <v>29475</v>
      </c>
      <c r="G36" s="128">
        <v>30388</v>
      </c>
      <c r="H36" s="128">
        <v>33330</v>
      </c>
    </row>
    <row r="37" spans="1:8" ht="15" customHeight="1">
      <c r="B37" s="96" t="s">
        <v>1102</v>
      </c>
      <c r="C37" s="97">
        <v>14109</v>
      </c>
      <c r="D37" s="97">
        <v>14247</v>
      </c>
      <c r="E37" s="97">
        <v>15164</v>
      </c>
      <c r="F37" s="97">
        <v>16633</v>
      </c>
      <c r="G37" s="97">
        <v>14888</v>
      </c>
      <c r="H37" s="524">
        <v>17372</v>
      </c>
    </row>
    <row r="38" spans="1:8" ht="15" customHeight="1">
      <c r="B38" s="207" t="s">
        <v>625</v>
      </c>
      <c r="C38" s="128">
        <v>7762</v>
      </c>
      <c r="D38" s="128">
        <v>7804</v>
      </c>
      <c r="E38" s="128">
        <v>8119</v>
      </c>
      <c r="F38" s="128">
        <v>9008</v>
      </c>
      <c r="G38" s="128">
        <v>8213</v>
      </c>
      <c r="H38" s="128">
        <v>9597</v>
      </c>
    </row>
    <row r="39" spans="1:8" ht="15" customHeight="1">
      <c r="B39" s="207" t="s">
        <v>626</v>
      </c>
      <c r="C39" s="128">
        <v>6347</v>
      </c>
      <c r="D39" s="128">
        <v>6443</v>
      </c>
      <c r="E39" s="128">
        <v>7045</v>
      </c>
      <c r="F39" s="128">
        <v>7625</v>
      </c>
      <c r="G39" s="128">
        <v>6675</v>
      </c>
      <c r="H39" s="128">
        <v>7775</v>
      </c>
    </row>
    <row r="40" spans="1:8" ht="15" customHeight="1">
      <c r="B40" s="133" t="s">
        <v>653</v>
      </c>
    </row>
    <row r="41" spans="1:8" ht="15" customHeight="1">
      <c r="B41" s="7" t="s">
        <v>314</v>
      </c>
    </row>
    <row r="42" spans="1:8" ht="15" customHeight="1">
      <c r="B42" s="6" t="s">
        <v>134</v>
      </c>
    </row>
    <row r="43" spans="1:8" ht="15" customHeight="1">
      <c r="B43" s="95" t="s">
        <v>376</v>
      </c>
      <c r="C43" s="71" t="s">
        <v>422</v>
      </c>
      <c r="D43" s="71" t="s">
        <v>423</v>
      </c>
      <c r="E43" s="71" t="s">
        <v>424</v>
      </c>
      <c r="F43" s="71" t="s">
        <v>335</v>
      </c>
      <c r="G43" s="71" t="s">
        <v>256</v>
      </c>
      <c r="H43" s="71" t="s">
        <v>257</v>
      </c>
    </row>
    <row r="44" spans="1:8" ht="15" customHeight="1">
      <c r="B44" s="96" t="s">
        <v>1104</v>
      </c>
      <c r="C44" s="97">
        <v>6271</v>
      </c>
      <c r="D44" s="97">
        <v>6335</v>
      </c>
      <c r="E44" s="97">
        <v>6610</v>
      </c>
      <c r="F44" s="97">
        <v>6065</v>
      </c>
      <c r="G44" s="97">
        <v>6250</v>
      </c>
      <c r="H44" s="97">
        <v>6759</v>
      </c>
    </row>
    <row r="45" spans="1:8" ht="15" customHeight="1">
      <c r="B45" s="207" t="s">
        <v>625</v>
      </c>
      <c r="C45" s="128">
        <v>4652</v>
      </c>
      <c r="D45" s="128">
        <v>4758</v>
      </c>
      <c r="E45" s="128">
        <v>4921</v>
      </c>
      <c r="F45" s="128">
        <v>4577</v>
      </c>
      <c r="G45" s="128">
        <v>4665</v>
      </c>
      <c r="H45" s="128">
        <v>4992</v>
      </c>
    </row>
    <row r="46" spans="1:8" ht="15" customHeight="1">
      <c r="B46" s="207" t="s">
        <v>626</v>
      </c>
      <c r="C46" s="128">
        <v>1619</v>
      </c>
      <c r="D46" s="128">
        <v>1577</v>
      </c>
      <c r="E46" s="128">
        <v>1689</v>
      </c>
      <c r="F46" s="128">
        <v>1488</v>
      </c>
      <c r="G46" s="128">
        <v>1585</v>
      </c>
      <c r="H46" s="128">
        <v>1767</v>
      </c>
    </row>
    <row r="47" spans="1:8" ht="15" customHeight="1">
      <c r="B47" s="235" t="s">
        <v>627</v>
      </c>
      <c r="C47" s="118">
        <v>0.74199999999999999</v>
      </c>
      <c r="D47" s="118">
        <v>0.751</v>
      </c>
      <c r="E47" s="118">
        <v>0.74399999999999999</v>
      </c>
      <c r="F47" s="118">
        <v>0.755</v>
      </c>
      <c r="G47" s="118">
        <v>0.746</v>
      </c>
      <c r="H47" s="118">
        <v>0.7385707944962272</v>
      </c>
    </row>
    <row r="48" spans="1:8" ht="15" customHeight="1">
      <c r="B48" s="235" t="s">
        <v>628</v>
      </c>
      <c r="C48" s="118">
        <v>0.25800000000000001</v>
      </c>
      <c r="D48" s="118">
        <v>0.249</v>
      </c>
      <c r="E48" s="118">
        <v>0.25600000000000001</v>
      </c>
      <c r="F48" s="118">
        <v>0.245</v>
      </c>
      <c r="G48" s="118">
        <v>0.254</v>
      </c>
      <c r="H48" s="118">
        <v>0.26142920550377274</v>
      </c>
    </row>
    <row r="49" spans="2:8" ht="15" customHeight="1">
      <c r="B49" s="96" t="s">
        <v>1105</v>
      </c>
      <c r="C49" s="97">
        <v>2958</v>
      </c>
      <c r="D49" s="97">
        <v>3131</v>
      </c>
      <c r="E49" s="97">
        <v>3122</v>
      </c>
      <c r="F49" s="97">
        <v>3135</v>
      </c>
      <c r="G49" s="97">
        <v>3124</v>
      </c>
      <c r="H49" s="97">
        <v>3179</v>
      </c>
    </row>
    <row r="50" spans="2:8" ht="15" customHeight="1">
      <c r="B50" s="207" t="s">
        <v>625</v>
      </c>
      <c r="C50" s="128">
        <v>2175</v>
      </c>
      <c r="D50" s="128">
        <v>2339</v>
      </c>
      <c r="E50" s="128">
        <v>2340</v>
      </c>
      <c r="F50" s="128">
        <v>2374</v>
      </c>
      <c r="G50" s="128">
        <v>2344</v>
      </c>
      <c r="H50" s="128">
        <v>2367</v>
      </c>
    </row>
    <row r="51" spans="2:8" ht="15" customHeight="1">
      <c r="B51" s="207" t="s">
        <v>626</v>
      </c>
      <c r="C51" s="132">
        <v>783</v>
      </c>
      <c r="D51" s="132">
        <v>792</v>
      </c>
      <c r="E51" s="132">
        <v>782</v>
      </c>
      <c r="F51" s="132">
        <v>761</v>
      </c>
      <c r="G51" s="132">
        <v>780</v>
      </c>
      <c r="H51" s="132">
        <v>812</v>
      </c>
    </row>
    <row r="52" spans="2:8" ht="15" customHeight="1">
      <c r="B52" s="96" t="s">
        <v>1106</v>
      </c>
      <c r="C52" s="97">
        <v>3313</v>
      </c>
      <c r="D52" s="97">
        <v>3204</v>
      </c>
      <c r="E52" s="97">
        <v>3488</v>
      </c>
      <c r="F52" s="97">
        <v>2930</v>
      </c>
      <c r="G52" s="97">
        <v>3126</v>
      </c>
      <c r="H52" s="97">
        <v>3580</v>
      </c>
    </row>
    <row r="53" spans="2:8" ht="15" customHeight="1">
      <c r="B53" s="207" t="s">
        <v>625</v>
      </c>
      <c r="C53" s="128">
        <v>2477</v>
      </c>
      <c r="D53" s="128">
        <v>2419</v>
      </c>
      <c r="E53" s="128">
        <v>2581</v>
      </c>
      <c r="F53" s="128">
        <v>2203</v>
      </c>
      <c r="G53" s="128">
        <v>2321</v>
      </c>
      <c r="H53" s="128">
        <v>2625</v>
      </c>
    </row>
    <row r="54" spans="2:8" ht="15" customHeight="1">
      <c r="B54" s="207" t="s">
        <v>626</v>
      </c>
      <c r="C54" s="132">
        <v>836</v>
      </c>
      <c r="D54" s="132">
        <v>785</v>
      </c>
      <c r="E54" s="132">
        <v>907</v>
      </c>
      <c r="F54" s="132">
        <v>727</v>
      </c>
      <c r="G54" s="132">
        <v>805</v>
      </c>
      <c r="H54" s="132">
        <v>955</v>
      </c>
    </row>
    <row r="55" spans="2:8" ht="15" customHeight="1">
      <c r="B55" s="133" t="s">
        <v>419</v>
      </c>
    </row>
    <row r="57" spans="2:8" ht="15" customHeight="1">
      <c r="B57" s="25" t="s">
        <v>135</v>
      </c>
    </row>
    <row r="59" spans="2:8" ht="15" customHeight="1">
      <c r="B59" s="88" t="s">
        <v>136</v>
      </c>
    </row>
    <row r="60" spans="2:8" ht="15" customHeight="1">
      <c r="B60" s="95" t="s">
        <v>640</v>
      </c>
      <c r="C60" s="71">
        <v>2017</v>
      </c>
      <c r="D60" s="71">
        <v>2018</v>
      </c>
      <c r="E60" s="71">
        <v>2019</v>
      </c>
      <c r="F60" s="71" t="s">
        <v>335</v>
      </c>
      <c r="G60" s="71" t="s">
        <v>256</v>
      </c>
      <c r="H60" s="71" t="s">
        <v>257</v>
      </c>
    </row>
    <row r="61" spans="2:8" ht="15" customHeight="1">
      <c r="B61" s="96" t="s">
        <v>1107</v>
      </c>
      <c r="C61" s="97">
        <v>71041</v>
      </c>
      <c r="D61" s="97">
        <v>71657</v>
      </c>
      <c r="E61" s="97">
        <v>74394</v>
      </c>
      <c r="F61" s="97">
        <v>97278</v>
      </c>
      <c r="G61" s="97">
        <v>100016</v>
      </c>
      <c r="H61" s="97">
        <v>110460</v>
      </c>
    </row>
    <row r="62" spans="2:8" ht="15" customHeight="1">
      <c r="B62" s="76" t="s">
        <v>625</v>
      </c>
      <c r="C62" s="128">
        <v>36822</v>
      </c>
      <c r="D62" s="128">
        <v>36744</v>
      </c>
      <c r="E62" s="128">
        <v>37496</v>
      </c>
      <c r="F62" s="128">
        <v>46317</v>
      </c>
      <c r="G62" s="128">
        <v>48252</v>
      </c>
      <c r="H62" s="128">
        <v>52965</v>
      </c>
    </row>
    <row r="63" spans="2:8" ht="15" customHeight="1">
      <c r="B63" s="207" t="s">
        <v>626</v>
      </c>
      <c r="C63" s="128">
        <v>34219</v>
      </c>
      <c r="D63" s="128">
        <v>34913</v>
      </c>
      <c r="E63" s="128">
        <v>36898</v>
      </c>
      <c r="F63" s="128">
        <v>50961</v>
      </c>
      <c r="G63" s="128">
        <v>51764</v>
      </c>
      <c r="H63" s="128">
        <v>57495</v>
      </c>
    </row>
    <row r="64" spans="2:8" ht="15" customHeight="1">
      <c r="B64" s="235" t="s">
        <v>728</v>
      </c>
      <c r="C64" s="118">
        <v>0.51800000000000002</v>
      </c>
      <c r="D64" s="118">
        <v>0.51300000000000001</v>
      </c>
      <c r="E64" s="118">
        <v>0.504</v>
      </c>
      <c r="F64" s="118">
        <v>0.47599999999999998</v>
      </c>
      <c r="G64" s="118">
        <v>0.48199999999999998</v>
      </c>
      <c r="H64" s="118">
        <v>0.47899999999999998</v>
      </c>
    </row>
    <row r="65" spans="2:8" ht="15" customHeight="1">
      <c r="B65" s="235" t="s">
        <v>729</v>
      </c>
      <c r="C65" s="118">
        <v>0.48199999999999998</v>
      </c>
      <c r="D65" s="118">
        <v>0.48699999999999999</v>
      </c>
      <c r="E65" s="118">
        <v>0.496</v>
      </c>
      <c r="F65" s="118">
        <v>0.52400000000000002</v>
      </c>
      <c r="G65" s="118">
        <v>0.51800000000000002</v>
      </c>
      <c r="H65" s="118">
        <v>0.52100000000000002</v>
      </c>
    </row>
    <row r="66" spans="2:8" ht="15" customHeight="1">
      <c r="B66" s="96" t="s">
        <v>1100</v>
      </c>
      <c r="C66" s="97">
        <v>19994</v>
      </c>
      <c r="D66" s="97">
        <v>20014</v>
      </c>
      <c r="E66" s="97">
        <v>21139</v>
      </c>
      <c r="F66" s="97">
        <v>33709</v>
      </c>
      <c r="G66" s="97">
        <v>36246</v>
      </c>
      <c r="H66" s="97">
        <v>40236</v>
      </c>
    </row>
    <row r="67" spans="2:8" ht="15" customHeight="1">
      <c r="B67" s="207" t="s">
        <v>625</v>
      </c>
      <c r="C67" s="128">
        <v>10983</v>
      </c>
      <c r="D67" s="128">
        <v>10910</v>
      </c>
      <c r="E67" s="128">
        <v>11306</v>
      </c>
      <c r="F67" s="128">
        <v>16211</v>
      </c>
      <c r="G67" s="128">
        <v>17627</v>
      </c>
      <c r="H67" s="128">
        <v>19467</v>
      </c>
    </row>
    <row r="68" spans="2:8" ht="15" customHeight="1">
      <c r="B68" s="207" t="s">
        <v>626</v>
      </c>
      <c r="C68" s="128">
        <v>9011</v>
      </c>
      <c r="D68" s="128">
        <v>9104</v>
      </c>
      <c r="E68" s="128">
        <v>9833</v>
      </c>
      <c r="F68" s="128">
        <v>17498</v>
      </c>
      <c r="G68" s="128">
        <v>18619</v>
      </c>
      <c r="H68" s="128">
        <v>20769</v>
      </c>
    </row>
    <row r="69" spans="2:8" ht="15" customHeight="1">
      <c r="B69" s="96" t="s">
        <v>1101</v>
      </c>
      <c r="C69" s="97">
        <v>40129</v>
      </c>
      <c r="D69" s="97">
        <v>40589</v>
      </c>
      <c r="E69" s="97">
        <v>41548</v>
      </c>
      <c r="F69" s="97">
        <v>50752</v>
      </c>
      <c r="G69" s="97">
        <v>52724</v>
      </c>
      <c r="H69" s="97">
        <v>57151</v>
      </c>
    </row>
    <row r="70" spans="2:8" ht="15" customHeight="1">
      <c r="B70" s="207" t="s">
        <v>625</v>
      </c>
      <c r="C70" s="128">
        <v>19841</v>
      </c>
      <c r="D70" s="128">
        <v>19769</v>
      </c>
      <c r="E70" s="128">
        <v>19976</v>
      </c>
      <c r="F70" s="128">
        <v>23141</v>
      </c>
      <c r="G70" s="128">
        <v>24402</v>
      </c>
      <c r="H70" s="128">
        <v>26135</v>
      </c>
    </row>
    <row r="71" spans="2:8" ht="15" customHeight="1">
      <c r="B71" s="207" t="s">
        <v>626</v>
      </c>
      <c r="C71" s="128">
        <v>20288</v>
      </c>
      <c r="D71" s="128">
        <v>20820</v>
      </c>
      <c r="E71" s="128">
        <v>21572</v>
      </c>
      <c r="F71" s="128">
        <v>27611</v>
      </c>
      <c r="G71" s="128">
        <v>28322</v>
      </c>
      <c r="H71" s="128">
        <v>31016</v>
      </c>
    </row>
    <row r="72" spans="2:8" ht="15" customHeight="1">
      <c r="B72" s="96" t="s">
        <v>1102</v>
      </c>
      <c r="C72" s="97">
        <v>10918</v>
      </c>
      <c r="D72" s="97">
        <v>11054</v>
      </c>
      <c r="E72" s="97">
        <v>11707</v>
      </c>
      <c r="F72" s="97">
        <v>12817</v>
      </c>
      <c r="G72" s="97">
        <v>11046</v>
      </c>
      <c r="H72" s="97">
        <v>13073</v>
      </c>
    </row>
    <row r="73" spans="2:8" ht="15" customHeight="1">
      <c r="B73" s="207" t="s">
        <v>625</v>
      </c>
      <c r="C73" s="128">
        <v>5998</v>
      </c>
      <c r="D73" s="128">
        <v>6065</v>
      </c>
      <c r="E73" s="128">
        <v>6214</v>
      </c>
      <c r="F73" s="128">
        <v>6965</v>
      </c>
      <c r="G73" s="128">
        <v>6223</v>
      </c>
      <c r="H73" s="128">
        <v>7363</v>
      </c>
    </row>
    <row r="74" spans="2:8" ht="15" customHeight="1">
      <c r="B74" s="207" t="s">
        <v>626</v>
      </c>
      <c r="C74" s="128">
        <v>4920</v>
      </c>
      <c r="D74" s="128">
        <v>4989</v>
      </c>
      <c r="E74" s="128">
        <v>5493</v>
      </c>
      <c r="F74" s="128">
        <v>5852</v>
      </c>
      <c r="G74" s="128">
        <v>4823</v>
      </c>
      <c r="H74" s="128">
        <v>5710</v>
      </c>
    </row>
    <row r="75" spans="2:8" ht="15" customHeight="1">
      <c r="B75" s="50" t="s">
        <v>431</v>
      </c>
    </row>
    <row r="77" spans="2:8" ht="15" customHeight="1">
      <c r="B77" s="88" t="s">
        <v>137</v>
      </c>
    </row>
    <row r="78" spans="2:8" ht="15" customHeight="1">
      <c r="B78" s="95" t="s">
        <v>640</v>
      </c>
      <c r="C78" s="71">
        <v>2017</v>
      </c>
      <c r="D78" s="71">
        <v>2018</v>
      </c>
      <c r="E78" s="71">
        <v>2019</v>
      </c>
      <c r="F78" s="71" t="s">
        <v>335</v>
      </c>
      <c r="G78" s="71" t="s">
        <v>256</v>
      </c>
      <c r="H78" s="71" t="s">
        <v>257</v>
      </c>
    </row>
    <row r="79" spans="2:8" ht="15" customHeight="1">
      <c r="B79" s="96" t="s">
        <v>1107</v>
      </c>
      <c r="C79" s="97">
        <v>6039</v>
      </c>
      <c r="D79" s="97">
        <v>6280</v>
      </c>
      <c r="E79" s="97">
        <v>6931</v>
      </c>
      <c r="F79" s="97">
        <v>8034</v>
      </c>
      <c r="G79" s="97">
        <v>7351</v>
      </c>
      <c r="H79" s="97">
        <v>9280</v>
      </c>
    </row>
    <row r="80" spans="2:8" ht="15" customHeight="1">
      <c r="B80" s="207" t="s">
        <v>625</v>
      </c>
      <c r="C80" s="132">
        <v>956</v>
      </c>
      <c r="D80" s="132">
        <v>994</v>
      </c>
      <c r="E80" s="128">
        <v>1059</v>
      </c>
      <c r="F80" s="128">
        <v>1154</v>
      </c>
      <c r="G80" s="128">
        <v>1555</v>
      </c>
      <c r="H80" s="128">
        <v>1685</v>
      </c>
    </row>
    <row r="81" spans="2:8" ht="15" customHeight="1">
      <c r="B81" s="207" t="s">
        <v>626</v>
      </c>
      <c r="C81" s="128">
        <v>5083</v>
      </c>
      <c r="D81" s="128">
        <v>5286</v>
      </c>
      <c r="E81" s="128">
        <v>5872</v>
      </c>
      <c r="F81" s="128">
        <v>6880</v>
      </c>
      <c r="G81" s="128">
        <v>5796</v>
      </c>
      <c r="H81" s="128">
        <v>7595</v>
      </c>
    </row>
    <row r="82" spans="2:8" ht="15" customHeight="1">
      <c r="B82" s="235" t="s">
        <v>728</v>
      </c>
      <c r="C82" s="118">
        <v>0.158</v>
      </c>
      <c r="D82" s="118">
        <v>0.158</v>
      </c>
      <c r="E82" s="118">
        <v>0.153</v>
      </c>
      <c r="F82" s="118">
        <v>0.14399999999999999</v>
      </c>
      <c r="G82" s="118">
        <v>0.21199999999999999</v>
      </c>
      <c r="H82" s="118">
        <v>0.182</v>
      </c>
    </row>
    <row r="83" spans="2:8" ht="15" customHeight="1">
      <c r="B83" s="235" t="s">
        <v>729</v>
      </c>
      <c r="C83" s="118">
        <v>0.84199999999999997</v>
      </c>
      <c r="D83" s="118">
        <v>0.84199999999999997</v>
      </c>
      <c r="E83" s="118">
        <v>0.84699999999999998</v>
      </c>
      <c r="F83" s="118">
        <v>0.85599999999999998</v>
      </c>
      <c r="G83" s="118">
        <v>0.78800000000000003</v>
      </c>
      <c r="H83" s="118">
        <v>0.81799999999999995</v>
      </c>
    </row>
    <row r="84" spans="2:8" ht="15" customHeight="1">
      <c r="B84" s="96" t="s">
        <v>1100</v>
      </c>
      <c r="C84" s="107">
        <v>706</v>
      </c>
      <c r="D84" s="107">
        <v>633</v>
      </c>
      <c r="E84" s="107">
        <v>734</v>
      </c>
      <c r="F84" s="97">
        <v>1721</v>
      </c>
      <c r="G84" s="97">
        <v>1903</v>
      </c>
      <c r="H84" s="97">
        <v>2587</v>
      </c>
    </row>
    <row r="85" spans="2:8" ht="15" customHeight="1">
      <c r="B85" s="207" t="s">
        <v>625</v>
      </c>
      <c r="C85" s="132">
        <v>117</v>
      </c>
      <c r="D85" s="132">
        <v>92</v>
      </c>
      <c r="E85" s="132">
        <v>104</v>
      </c>
      <c r="F85" s="132">
        <v>242</v>
      </c>
      <c r="G85" s="132">
        <v>541</v>
      </c>
      <c r="H85" s="132">
        <v>534</v>
      </c>
    </row>
    <row r="86" spans="2:8" ht="15" customHeight="1">
      <c r="B86" s="207" t="s">
        <v>626</v>
      </c>
      <c r="C86" s="132">
        <v>589</v>
      </c>
      <c r="D86" s="132">
        <v>541</v>
      </c>
      <c r="E86" s="132">
        <v>630</v>
      </c>
      <c r="F86" s="128">
        <v>1479</v>
      </c>
      <c r="G86" s="128">
        <v>1362</v>
      </c>
      <c r="H86" s="128">
        <v>2053</v>
      </c>
    </row>
    <row r="87" spans="2:8" ht="15" customHeight="1">
      <c r="B87" s="96" t="s">
        <v>1101</v>
      </c>
      <c r="C87" s="97">
        <v>2103</v>
      </c>
      <c r="D87" s="97">
        <v>2384</v>
      </c>
      <c r="E87" s="97">
        <v>2397</v>
      </c>
      <c r="F87" s="97">
        <v>2542</v>
      </c>
      <c r="G87" s="97">
        <v>2747</v>
      </c>
      <c r="H87" s="97">
        <v>3795</v>
      </c>
    </row>
    <row r="88" spans="2:8" ht="15" customHeight="1">
      <c r="B88" s="207" t="s">
        <v>625</v>
      </c>
      <c r="C88" s="132">
        <v>362</v>
      </c>
      <c r="D88" s="132">
        <v>370</v>
      </c>
      <c r="E88" s="132">
        <v>351</v>
      </c>
      <c r="F88" s="132">
        <v>284</v>
      </c>
      <c r="G88" s="132">
        <v>661</v>
      </c>
      <c r="H88" s="132">
        <v>749</v>
      </c>
    </row>
    <row r="89" spans="2:8" ht="15" customHeight="1">
      <c r="B89" s="207" t="s">
        <v>626</v>
      </c>
      <c r="C89" s="128">
        <v>1741</v>
      </c>
      <c r="D89" s="128">
        <v>2014</v>
      </c>
      <c r="E89" s="128">
        <v>2046</v>
      </c>
      <c r="F89" s="128">
        <v>2258</v>
      </c>
      <c r="G89" s="128">
        <v>2086</v>
      </c>
      <c r="H89" s="128">
        <v>3046</v>
      </c>
    </row>
    <row r="90" spans="2:8" ht="15" customHeight="1">
      <c r="B90" s="96" t="s">
        <v>1102</v>
      </c>
      <c r="C90" s="97">
        <v>3230</v>
      </c>
      <c r="D90" s="97">
        <v>3263</v>
      </c>
      <c r="E90" s="97">
        <v>3800</v>
      </c>
      <c r="F90" s="97">
        <v>3771</v>
      </c>
      <c r="G90" s="97">
        <v>2701</v>
      </c>
      <c r="H90" s="97">
        <v>2898</v>
      </c>
    </row>
    <row r="91" spans="2:8" ht="15" customHeight="1">
      <c r="B91" s="207" t="s">
        <v>625</v>
      </c>
      <c r="C91" s="132">
        <v>477</v>
      </c>
      <c r="D91" s="132">
        <v>532</v>
      </c>
      <c r="E91" s="132">
        <v>604</v>
      </c>
      <c r="F91" s="132">
        <v>628</v>
      </c>
      <c r="G91" s="132">
        <v>353</v>
      </c>
      <c r="H91" s="132">
        <v>402</v>
      </c>
    </row>
    <row r="92" spans="2:8" ht="15" customHeight="1">
      <c r="B92" s="207" t="s">
        <v>626</v>
      </c>
      <c r="C92" s="128">
        <v>2753</v>
      </c>
      <c r="D92" s="128">
        <v>2731</v>
      </c>
      <c r="E92" s="128">
        <v>3196</v>
      </c>
      <c r="F92" s="128">
        <v>3143</v>
      </c>
      <c r="G92" s="128">
        <v>2348</v>
      </c>
      <c r="H92" s="128">
        <v>2496</v>
      </c>
    </row>
    <row r="93" spans="2:8" ht="15" customHeight="1">
      <c r="B93" s="50" t="s">
        <v>431</v>
      </c>
    </row>
    <row r="95" spans="2:8" ht="15" customHeight="1">
      <c r="B95" s="88" t="s">
        <v>138</v>
      </c>
    </row>
    <row r="96" spans="2:8" ht="15" customHeight="1">
      <c r="B96" s="95" t="s">
        <v>640</v>
      </c>
      <c r="C96" s="71">
        <v>2017</v>
      </c>
      <c r="D96" s="71">
        <v>2018</v>
      </c>
      <c r="E96" s="71">
        <v>2019</v>
      </c>
      <c r="F96" s="71" t="s">
        <v>335</v>
      </c>
      <c r="G96" s="71" t="s">
        <v>256</v>
      </c>
      <c r="H96" s="71" t="s">
        <v>257</v>
      </c>
    </row>
    <row r="97" spans="2:8" ht="15" customHeight="1">
      <c r="B97" s="74" t="s">
        <v>1107</v>
      </c>
      <c r="C97" s="97">
        <v>41573</v>
      </c>
      <c r="D97" s="97">
        <v>42073</v>
      </c>
      <c r="E97" s="97">
        <v>43878</v>
      </c>
      <c r="F97" s="97">
        <v>60666</v>
      </c>
      <c r="G97" s="97">
        <v>63046</v>
      </c>
      <c r="H97" s="97">
        <v>67539</v>
      </c>
    </row>
    <row r="98" spans="2:8" ht="15" customHeight="1">
      <c r="B98" s="207" t="s">
        <v>625</v>
      </c>
      <c r="C98" s="128">
        <v>18898</v>
      </c>
      <c r="D98" s="128">
        <v>18990</v>
      </c>
      <c r="E98" s="128">
        <v>19534</v>
      </c>
      <c r="F98" s="128">
        <v>25667</v>
      </c>
      <c r="G98" s="128">
        <v>26833</v>
      </c>
      <c r="H98" s="128">
        <v>29101</v>
      </c>
    </row>
    <row r="99" spans="2:8" ht="15" customHeight="1">
      <c r="B99" s="207" t="s">
        <v>626</v>
      </c>
      <c r="C99" s="128">
        <v>22675</v>
      </c>
      <c r="D99" s="128">
        <v>23083</v>
      </c>
      <c r="E99" s="128">
        <v>24344</v>
      </c>
      <c r="F99" s="128">
        <v>34999</v>
      </c>
      <c r="G99" s="128">
        <v>36213</v>
      </c>
      <c r="H99" s="128">
        <v>38438</v>
      </c>
    </row>
    <row r="100" spans="2:8" ht="15" customHeight="1">
      <c r="B100" s="235" t="s">
        <v>728</v>
      </c>
      <c r="C100" s="118">
        <v>0.45500000000000002</v>
      </c>
      <c r="D100" s="118">
        <v>0.45100000000000001</v>
      </c>
      <c r="E100" s="118">
        <v>0.44500000000000001</v>
      </c>
      <c r="F100" s="118">
        <v>0.42299999999999999</v>
      </c>
      <c r="G100" s="118">
        <v>0.42599999999999999</v>
      </c>
      <c r="H100" s="118">
        <v>0.43099999999999999</v>
      </c>
    </row>
    <row r="101" spans="2:8" ht="15" customHeight="1">
      <c r="B101" s="235" t="s">
        <v>729</v>
      </c>
      <c r="C101" s="118">
        <v>0.54500000000000004</v>
      </c>
      <c r="D101" s="118">
        <v>0.54900000000000004</v>
      </c>
      <c r="E101" s="118">
        <v>0.55500000000000005</v>
      </c>
      <c r="F101" s="118">
        <v>0.57699999999999996</v>
      </c>
      <c r="G101" s="118">
        <v>0.57399999999999995</v>
      </c>
      <c r="H101" s="118">
        <v>0.56899999999999995</v>
      </c>
    </row>
    <row r="102" spans="2:8" ht="15" customHeight="1">
      <c r="B102" s="96" t="s">
        <v>1108</v>
      </c>
      <c r="C102" s="97">
        <v>11895</v>
      </c>
      <c r="D102" s="97">
        <v>12030</v>
      </c>
      <c r="E102" s="97">
        <v>12855</v>
      </c>
      <c r="F102" s="97">
        <v>21959</v>
      </c>
      <c r="G102" s="97">
        <v>23589</v>
      </c>
      <c r="H102" s="97">
        <v>25102</v>
      </c>
    </row>
    <row r="103" spans="2:8" ht="15" customHeight="1">
      <c r="B103" s="207" t="s">
        <v>625</v>
      </c>
      <c r="C103" s="128">
        <v>5603</v>
      </c>
      <c r="D103" s="128">
        <v>5589</v>
      </c>
      <c r="E103" s="128">
        <v>5839</v>
      </c>
      <c r="F103" s="128">
        <v>9209</v>
      </c>
      <c r="G103" s="128">
        <v>10007</v>
      </c>
      <c r="H103" s="128">
        <v>10724</v>
      </c>
    </row>
    <row r="104" spans="2:8" ht="15" customHeight="1">
      <c r="B104" s="207" t="s">
        <v>626</v>
      </c>
      <c r="C104" s="128">
        <v>6292</v>
      </c>
      <c r="D104" s="128">
        <v>6441</v>
      </c>
      <c r="E104" s="128">
        <v>7016</v>
      </c>
      <c r="F104" s="128">
        <v>12750</v>
      </c>
      <c r="G104" s="128">
        <v>13582</v>
      </c>
      <c r="H104" s="128">
        <v>14378</v>
      </c>
    </row>
    <row r="105" spans="2:8" ht="15" customHeight="1">
      <c r="B105" s="96" t="s">
        <v>1109</v>
      </c>
      <c r="C105" s="97">
        <v>25897</v>
      </c>
      <c r="D105" s="97">
        <v>26038</v>
      </c>
      <c r="E105" s="97">
        <v>26771</v>
      </c>
      <c r="F105" s="97">
        <v>33509</v>
      </c>
      <c r="G105" s="97">
        <v>34523</v>
      </c>
      <c r="H105" s="97">
        <v>36120</v>
      </c>
    </row>
    <row r="106" spans="2:8" ht="15" customHeight="1">
      <c r="B106" s="207" t="s">
        <v>625</v>
      </c>
      <c r="C106" s="128">
        <v>10916</v>
      </c>
      <c r="D106" s="128">
        <v>10869</v>
      </c>
      <c r="E106" s="128">
        <v>10979</v>
      </c>
      <c r="F106" s="128">
        <v>13093</v>
      </c>
      <c r="G106" s="128">
        <v>13625</v>
      </c>
      <c r="H106" s="128">
        <v>14329</v>
      </c>
    </row>
    <row r="107" spans="2:8" ht="15" customHeight="1">
      <c r="B107" s="207" t="s">
        <v>626</v>
      </c>
      <c r="C107" s="128">
        <v>14981</v>
      </c>
      <c r="D107" s="128">
        <v>15169</v>
      </c>
      <c r="E107" s="128">
        <v>15792</v>
      </c>
      <c r="F107" s="128">
        <v>20416</v>
      </c>
      <c r="G107" s="128">
        <v>20898</v>
      </c>
      <c r="H107" s="128">
        <v>21791</v>
      </c>
    </row>
    <row r="108" spans="2:8" ht="15" customHeight="1">
      <c r="B108" s="96" t="s">
        <v>1110</v>
      </c>
      <c r="C108" s="97">
        <v>3781</v>
      </c>
      <c r="D108" s="97">
        <v>4005</v>
      </c>
      <c r="E108" s="97">
        <v>4252</v>
      </c>
      <c r="F108" s="97">
        <v>5198</v>
      </c>
      <c r="G108" s="97">
        <v>4934</v>
      </c>
      <c r="H108" s="97">
        <v>6317</v>
      </c>
    </row>
    <row r="109" spans="2:8" ht="15" customHeight="1">
      <c r="B109" s="207" t="s">
        <v>625</v>
      </c>
      <c r="C109" s="128">
        <v>2379</v>
      </c>
      <c r="D109" s="128">
        <v>2532</v>
      </c>
      <c r="E109" s="128">
        <v>2716</v>
      </c>
      <c r="F109" s="128">
        <v>3365</v>
      </c>
      <c r="G109" s="128">
        <v>3201</v>
      </c>
      <c r="H109" s="128">
        <v>4048</v>
      </c>
    </row>
    <row r="110" spans="2:8" ht="15" customHeight="1">
      <c r="B110" s="207" t="s">
        <v>626</v>
      </c>
      <c r="C110" s="128">
        <v>1402</v>
      </c>
      <c r="D110" s="128">
        <v>1473</v>
      </c>
      <c r="E110" s="128">
        <v>1536</v>
      </c>
      <c r="F110" s="128">
        <v>1833</v>
      </c>
      <c r="G110" s="128">
        <v>1733</v>
      </c>
      <c r="H110" s="128">
        <v>2269</v>
      </c>
    </row>
    <row r="111" spans="2:8" ht="15" customHeight="1">
      <c r="B111" s="50" t="s">
        <v>431</v>
      </c>
    </row>
    <row r="113" spans="2:8" ht="15" customHeight="1">
      <c r="B113" s="88" t="s">
        <v>139</v>
      </c>
    </row>
    <row r="114" spans="2:8" ht="15" customHeight="1">
      <c r="B114" s="95" t="s">
        <v>640</v>
      </c>
      <c r="C114" s="95">
        <v>2017</v>
      </c>
      <c r="D114" s="95">
        <v>2018</v>
      </c>
      <c r="E114" s="95">
        <v>2019</v>
      </c>
      <c r="F114" s="95" t="s">
        <v>335</v>
      </c>
      <c r="G114" s="95" t="s">
        <v>256</v>
      </c>
      <c r="H114" s="95" t="s">
        <v>257</v>
      </c>
    </row>
    <row r="115" spans="2:8" ht="15" customHeight="1">
      <c r="B115" s="96" t="s">
        <v>1111</v>
      </c>
      <c r="C115" s="237">
        <v>19268</v>
      </c>
      <c r="D115" s="97">
        <v>19563</v>
      </c>
      <c r="E115" s="97">
        <v>19793</v>
      </c>
      <c r="F115" s="97">
        <v>24403</v>
      </c>
      <c r="G115" s="97">
        <v>25468</v>
      </c>
      <c r="H115" s="97">
        <v>28140</v>
      </c>
    </row>
    <row r="116" spans="2:8" ht="15" customHeight="1">
      <c r="B116" s="207" t="s">
        <v>625</v>
      </c>
      <c r="C116" s="128">
        <v>13772</v>
      </c>
      <c r="D116" s="128">
        <v>13883</v>
      </c>
      <c r="E116" s="128">
        <v>14007</v>
      </c>
      <c r="F116" s="128">
        <v>16422</v>
      </c>
      <c r="G116" s="128">
        <v>16937</v>
      </c>
      <c r="H116" s="128">
        <v>18341</v>
      </c>
    </row>
    <row r="117" spans="2:8" ht="15" customHeight="1">
      <c r="B117" s="207" t="s">
        <v>626</v>
      </c>
      <c r="C117" s="128">
        <v>5496</v>
      </c>
      <c r="D117" s="128">
        <v>5680</v>
      </c>
      <c r="E117" s="128">
        <v>5786</v>
      </c>
      <c r="F117" s="128">
        <v>7981</v>
      </c>
      <c r="G117" s="128">
        <v>8531</v>
      </c>
      <c r="H117" s="128">
        <v>9799</v>
      </c>
    </row>
    <row r="118" spans="2:8" ht="15" customHeight="1">
      <c r="B118" s="235" t="s">
        <v>728</v>
      </c>
      <c r="C118" s="118">
        <v>0.71499999999999997</v>
      </c>
      <c r="D118" s="118">
        <v>0.71</v>
      </c>
      <c r="E118" s="118">
        <v>0.70799999999999996</v>
      </c>
      <c r="F118" s="118">
        <v>0.67300000000000004</v>
      </c>
      <c r="G118" s="118">
        <v>0.66500000000000004</v>
      </c>
      <c r="H118" s="118">
        <v>0.65200000000000002</v>
      </c>
    </row>
    <row r="119" spans="2:8" ht="15" customHeight="1">
      <c r="B119" s="235" t="s">
        <v>729</v>
      </c>
      <c r="C119" s="118">
        <v>0.28499999999999998</v>
      </c>
      <c r="D119" s="118">
        <v>0.28999999999999998</v>
      </c>
      <c r="E119" s="118">
        <v>0.29199999999999998</v>
      </c>
      <c r="F119" s="118">
        <v>0.32700000000000001</v>
      </c>
      <c r="G119" s="118">
        <v>0.33500000000000002</v>
      </c>
      <c r="H119" s="118">
        <v>0.34799999999999998</v>
      </c>
    </row>
    <row r="120" spans="2:8" ht="15" customHeight="1">
      <c r="B120" s="96" t="s">
        <v>1112</v>
      </c>
      <c r="C120" s="97">
        <v>6219</v>
      </c>
      <c r="D120" s="97">
        <v>6251</v>
      </c>
      <c r="E120" s="97">
        <v>6370</v>
      </c>
      <c r="F120" s="97">
        <v>8725</v>
      </c>
      <c r="G120" s="97">
        <v>9085</v>
      </c>
      <c r="H120" s="97">
        <v>10295</v>
      </c>
    </row>
    <row r="121" spans="2:8" ht="15" customHeight="1">
      <c r="B121" s="207" t="s">
        <v>625</v>
      </c>
      <c r="C121" s="128">
        <v>4413</v>
      </c>
      <c r="D121" s="128">
        <v>4387</v>
      </c>
      <c r="E121" s="128">
        <v>4472</v>
      </c>
      <c r="F121" s="128">
        <v>5821</v>
      </c>
      <c r="G121" s="128">
        <v>5972</v>
      </c>
      <c r="H121" s="128">
        <v>6702</v>
      </c>
    </row>
    <row r="122" spans="2:8" ht="15" customHeight="1">
      <c r="B122" s="207" t="s">
        <v>626</v>
      </c>
      <c r="C122" s="128">
        <v>1806</v>
      </c>
      <c r="D122" s="128">
        <v>1864</v>
      </c>
      <c r="E122" s="128">
        <v>1898</v>
      </c>
      <c r="F122" s="128">
        <v>2904</v>
      </c>
      <c r="G122" s="128">
        <v>3113</v>
      </c>
      <c r="H122" s="128">
        <v>3593</v>
      </c>
    </row>
    <row r="123" spans="2:8" ht="15" customHeight="1">
      <c r="B123" s="96" t="s">
        <v>1113</v>
      </c>
      <c r="C123" s="237">
        <v>11578</v>
      </c>
      <c r="D123" s="97">
        <v>11586</v>
      </c>
      <c r="E123" s="97">
        <v>11723</v>
      </c>
      <c r="F123" s="97">
        <v>13913</v>
      </c>
      <c r="G123" s="97">
        <v>14437</v>
      </c>
      <c r="H123" s="97">
        <v>15799</v>
      </c>
    </row>
    <row r="124" spans="2:8" ht="15" customHeight="1">
      <c r="B124" s="207" t="s">
        <v>625</v>
      </c>
      <c r="C124" s="128">
        <v>8139</v>
      </c>
      <c r="D124" s="128">
        <v>8088</v>
      </c>
      <c r="E124" s="128">
        <v>8144</v>
      </c>
      <c r="F124" s="128">
        <v>9185</v>
      </c>
      <c r="G124" s="128">
        <v>9387</v>
      </c>
      <c r="H124" s="128">
        <v>10060</v>
      </c>
    </row>
    <row r="125" spans="2:8" ht="15" customHeight="1">
      <c r="B125" s="207" t="s">
        <v>626</v>
      </c>
      <c r="C125" s="128">
        <v>3439</v>
      </c>
      <c r="D125" s="128">
        <v>3498</v>
      </c>
      <c r="E125" s="128">
        <v>3579</v>
      </c>
      <c r="F125" s="128">
        <v>4728</v>
      </c>
      <c r="G125" s="128">
        <v>5050</v>
      </c>
      <c r="H125" s="128">
        <v>5739</v>
      </c>
    </row>
    <row r="126" spans="2:8" ht="15" customHeight="1">
      <c r="B126" s="96" t="s">
        <v>1114</v>
      </c>
      <c r="C126" s="97">
        <v>1471</v>
      </c>
      <c r="D126" s="97">
        <v>1726</v>
      </c>
      <c r="E126" s="97">
        <v>1700</v>
      </c>
      <c r="F126" s="97">
        <v>1765</v>
      </c>
      <c r="G126" s="97">
        <v>1946</v>
      </c>
      <c r="H126" s="97">
        <v>2046</v>
      </c>
    </row>
    <row r="127" spans="2:8" ht="15" customHeight="1">
      <c r="B127" s="207" t="s">
        <v>625</v>
      </c>
      <c r="C127" s="128">
        <v>1220</v>
      </c>
      <c r="D127" s="128">
        <v>1408</v>
      </c>
      <c r="E127" s="128">
        <v>1391</v>
      </c>
      <c r="F127" s="128">
        <v>1416</v>
      </c>
      <c r="G127" s="128">
        <v>1578</v>
      </c>
      <c r="H127" s="128">
        <v>1579</v>
      </c>
    </row>
    <row r="128" spans="2:8" ht="15" customHeight="1">
      <c r="B128" s="207" t="s">
        <v>626</v>
      </c>
      <c r="C128" s="132">
        <v>251</v>
      </c>
      <c r="D128" s="132">
        <v>318</v>
      </c>
      <c r="E128" s="132">
        <v>309</v>
      </c>
      <c r="F128" s="132">
        <v>349</v>
      </c>
      <c r="G128" s="132">
        <v>368</v>
      </c>
      <c r="H128" s="132">
        <v>467</v>
      </c>
    </row>
    <row r="129" spans="2:8" ht="15" customHeight="1">
      <c r="B129" s="50" t="s">
        <v>431</v>
      </c>
    </row>
    <row r="130" spans="2:8" ht="15" customHeight="1">
      <c r="B130" s="6" t="s">
        <v>314</v>
      </c>
    </row>
    <row r="131" spans="2:8" ht="15" customHeight="1">
      <c r="B131" s="88" t="s">
        <v>140</v>
      </c>
    </row>
    <row r="132" spans="2:8" ht="15" customHeight="1">
      <c r="B132" s="138" t="s">
        <v>640</v>
      </c>
      <c r="C132" s="63">
        <v>2017</v>
      </c>
      <c r="D132" s="63">
        <v>2018</v>
      </c>
      <c r="E132" s="63">
        <v>2019</v>
      </c>
      <c r="F132" s="63" t="s">
        <v>335</v>
      </c>
      <c r="G132" s="63" t="s">
        <v>256</v>
      </c>
      <c r="H132" s="63" t="s">
        <v>257</v>
      </c>
    </row>
    <row r="133" spans="2:8" ht="15" customHeight="1">
      <c r="B133" s="129" t="s">
        <v>1115</v>
      </c>
      <c r="C133" s="31">
        <v>4161</v>
      </c>
      <c r="D133" s="31">
        <v>3741</v>
      </c>
      <c r="E133" s="31">
        <v>3792</v>
      </c>
      <c r="F133" s="31">
        <v>4175</v>
      </c>
      <c r="G133" s="31">
        <v>4151</v>
      </c>
      <c r="H133" s="31">
        <v>5501</v>
      </c>
    </row>
    <row r="134" spans="2:8" ht="15" customHeight="1">
      <c r="B134" s="105" t="s">
        <v>625</v>
      </c>
      <c r="C134" s="144">
        <v>3196</v>
      </c>
      <c r="D134" s="144">
        <v>2877</v>
      </c>
      <c r="E134" s="65">
        <v>2896</v>
      </c>
      <c r="F134" s="65">
        <v>3074</v>
      </c>
      <c r="G134" s="65">
        <v>2927</v>
      </c>
      <c r="H134" s="65">
        <v>3838</v>
      </c>
    </row>
    <row r="135" spans="2:8" ht="15" customHeight="1">
      <c r="B135" s="105" t="s">
        <v>626</v>
      </c>
      <c r="C135" s="116">
        <v>965</v>
      </c>
      <c r="D135" s="116">
        <v>864</v>
      </c>
      <c r="E135" s="33">
        <v>896</v>
      </c>
      <c r="F135" s="65">
        <v>1101</v>
      </c>
      <c r="G135" s="65">
        <v>1224</v>
      </c>
      <c r="H135" s="65">
        <v>1663</v>
      </c>
    </row>
    <row r="136" spans="2:8" ht="15" customHeight="1">
      <c r="B136" s="106" t="s">
        <v>728</v>
      </c>
      <c r="C136" s="234">
        <v>0.76800000000000002</v>
      </c>
      <c r="D136" s="234">
        <v>0.76900000000000002</v>
      </c>
      <c r="E136" s="99">
        <v>0.76400000000000001</v>
      </c>
      <c r="F136" s="99">
        <v>0.73599999999999999</v>
      </c>
      <c r="G136" s="99">
        <v>0.70499999999999996</v>
      </c>
      <c r="H136" s="99">
        <v>0.69799999999999995</v>
      </c>
    </row>
    <row r="137" spans="2:8" ht="15" customHeight="1">
      <c r="B137" s="106" t="s">
        <v>729</v>
      </c>
      <c r="C137" s="234">
        <v>0.23200000000000001</v>
      </c>
      <c r="D137" s="234">
        <v>0.23100000000000001</v>
      </c>
      <c r="E137" s="99">
        <v>0.23599999999999999</v>
      </c>
      <c r="F137" s="99">
        <v>0.26400000000000001</v>
      </c>
      <c r="G137" s="99">
        <v>0.29499999999999998</v>
      </c>
      <c r="H137" s="99">
        <v>0.30199999999999999</v>
      </c>
    </row>
    <row r="138" spans="2:8" ht="15" customHeight="1">
      <c r="B138" s="129" t="s">
        <v>1116</v>
      </c>
      <c r="C138" s="31">
        <v>1174</v>
      </c>
      <c r="D138" s="31">
        <v>1100</v>
      </c>
      <c r="E138" s="31">
        <v>1180</v>
      </c>
      <c r="F138" s="31">
        <v>1304</v>
      </c>
      <c r="G138" s="31">
        <v>1669</v>
      </c>
      <c r="H138" s="31">
        <v>2252</v>
      </c>
    </row>
    <row r="139" spans="2:8" ht="15" customHeight="1">
      <c r="B139" s="105" t="s">
        <v>625</v>
      </c>
      <c r="C139" s="116">
        <v>850</v>
      </c>
      <c r="D139" s="116">
        <v>842</v>
      </c>
      <c r="E139" s="33">
        <v>891</v>
      </c>
      <c r="F139" s="33">
        <v>939</v>
      </c>
      <c r="G139" s="65">
        <v>1107</v>
      </c>
      <c r="H139" s="65">
        <v>1507</v>
      </c>
    </row>
    <row r="140" spans="2:8" ht="15" customHeight="1">
      <c r="B140" s="105" t="s">
        <v>626</v>
      </c>
      <c r="C140" s="116">
        <v>324</v>
      </c>
      <c r="D140" s="116">
        <v>258</v>
      </c>
      <c r="E140" s="33">
        <v>289</v>
      </c>
      <c r="F140" s="33">
        <v>365</v>
      </c>
      <c r="G140" s="33">
        <v>562</v>
      </c>
      <c r="H140" s="33">
        <v>745</v>
      </c>
    </row>
    <row r="141" spans="2:8" ht="15" customHeight="1">
      <c r="B141" s="129" t="s">
        <v>1117</v>
      </c>
      <c r="C141" s="119">
        <v>551</v>
      </c>
      <c r="D141" s="119">
        <v>581</v>
      </c>
      <c r="E141" s="119">
        <v>657</v>
      </c>
      <c r="F141" s="119">
        <v>788</v>
      </c>
      <c r="G141" s="31">
        <v>1017</v>
      </c>
      <c r="H141" s="31">
        <v>1437</v>
      </c>
    </row>
    <row r="142" spans="2:8" ht="15" customHeight="1">
      <c r="B142" s="105" t="s">
        <v>625</v>
      </c>
      <c r="C142" s="116">
        <v>424</v>
      </c>
      <c r="D142" s="116">
        <v>442</v>
      </c>
      <c r="E142" s="33">
        <v>502</v>
      </c>
      <c r="F142" s="33">
        <v>579</v>
      </c>
      <c r="G142" s="33">
        <v>729</v>
      </c>
      <c r="H142" s="33">
        <v>997</v>
      </c>
    </row>
    <row r="143" spans="2:8" ht="15" customHeight="1">
      <c r="B143" s="105" t="s">
        <v>626</v>
      </c>
      <c r="C143" s="116">
        <v>127</v>
      </c>
      <c r="D143" s="116">
        <v>139</v>
      </c>
      <c r="E143" s="33">
        <v>155</v>
      </c>
      <c r="F143" s="33">
        <v>209</v>
      </c>
      <c r="G143" s="33">
        <v>288</v>
      </c>
      <c r="H143" s="33">
        <v>440</v>
      </c>
    </row>
    <row r="144" spans="2:8" ht="15" customHeight="1">
      <c r="B144" s="129" t="s">
        <v>1118</v>
      </c>
      <c r="C144" s="31">
        <v>2436</v>
      </c>
      <c r="D144" s="31">
        <v>2060</v>
      </c>
      <c r="E144" s="31">
        <v>1955</v>
      </c>
      <c r="F144" s="31">
        <v>2083</v>
      </c>
      <c r="G144" s="31">
        <v>1465</v>
      </c>
      <c r="H144" s="31">
        <v>1812</v>
      </c>
    </row>
    <row r="145" spans="2:8" ht="15" customHeight="1">
      <c r="B145" s="105" t="s">
        <v>625</v>
      </c>
      <c r="C145" s="144">
        <v>1922</v>
      </c>
      <c r="D145" s="144">
        <v>1593</v>
      </c>
      <c r="E145" s="65">
        <v>1503</v>
      </c>
      <c r="F145" s="65">
        <v>1556</v>
      </c>
      <c r="G145" s="65">
        <v>1091</v>
      </c>
      <c r="H145" s="65">
        <v>1334</v>
      </c>
    </row>
    <row r="146" spans="2:8" ht="15" customHeight="1">
      <c r="B146" s="105" t="s">
        <v>626</v>
      </c>
      <c r="C146" s="116">
        <v>514</v>
      </c>
      <c r="D146" s="116">
        <v>467</v>
      </c>
      <c r="E146" s="33">
        <v>452</v>
      </c>
      <c r="F146" s="33">
        <v>527</v>
      </c>
      <c r="G146" s="33">
        <v>374</v>
      </c>
      <c r="H146" s="33">
        <v>478</v>
      </c>
    </row>
    <row r="147" spans="2:8" ht="15" customHeight="1">
      <c r="B147" s="156" t="s">
        <v>724</v>
      </c>
    </row>
    <row r="149" spans="2:8" ht="15" customHeight="1">
      <c r="B149" s="88" t="s">
        <v>141</v>
      </c>
    </row>
    <row r="150" spans="2:8" ht="15" customHeight="1">
      <c r="B150" s="95" t="s">
        <v>376</v>
      </c>
      <c r="C150" s="71" t="s">
        <v>422</v>
      </c>
      <c r="D150" s="71" t="s">
        <v>423</v>
      </c>
      <c r="E150" s="71" t="s">
        <v>424</v>
      </c>
      <c r="F150" s="71" t="s">
        <v>335</v>
      </c>
      <c r="G150" s="71" t="s">
        <v>256</v>
      </c>
      <c r="H150" s="71" t="s">
        <v>257</v>
      </c>
    </row>
    <row r="151" spans="2:8" ht="15" customHeight="1">
      <c r="B151" s="96" t="s">
        <v>1119</v>
      </c>
      <c r="C151" s="97">
        <v>4094</v>
      </c>
      <c r="D151" s="97">
        <v>4086</v>
      </c>
      <c r="E151" s="97">
        <v>4322</v>
      </c>
      <c r="F151" s="97">
        <v>4301</v>
      </c>
      <c r="G151" s="97">
        <v>4302</v>
      </c>
      <c r="H151" s="97">
        <v>4374</v>
      </c>
    </row>
    <row r="152" spans="2:8" ht="15" customHeight="1">
      <c r="B152" s="207" t="s">
        <v>625</v>
      </c>
      <c r="C152" s="128">
        <v>3294</v>
      </c>
      <c r="D152" s="128">
        <v>3324</v>
      </c>
      <c r="E152" s="128">
        <v>3500</v>
      </c>
      <c r="F152" s="128">
        <v>3492</v>
      </c>
      <c r="G152" s="128">
        <v>3479</v>
      </c>
      <c r="H152" s="128">
        <v>3491</v>
      </c>
    </row>
    <row r="153" spans="2:8" ht="15" customHeight="1">
      <c r="B153" s="207" t="s">
        <v>626</v>
      </c>
      <c r="C153" s="132">
        <v>800</v>
      </c>
      <c r="D153" s="132">
        <v>762</v>
      </c>
      <c r="E153" s="132">
        <v>822</v>
      </c>
      <c r="F153" s="132">
        <v>809</v>
      </c>
      <c r="G153" s="132">
        <v>823</v>
      </c>
      <c r="H153" s="132">
        <v>883</v>
      </c>
    </row>
    <row r="154" spans="2:8" ht="15" customHeight="1">
      <c r="B154" s="235" t="s">
        <v>627</v>
      </c>
      <c r="C154" s="118">
        <v>0.80500000000000005</v>
      </c>
      <c r="D154" s="118">
        <v>0.81399999999999995</v>
      </c>
      <c r="E154" s="118">
        <v>0.81</v>
      </c>
      <c r="F154" s="118">
        <v>0.81200000000000006</v>
      </c>
      <c r="G154" s="118">
        <v>0.80900000000000005</v>
      </c>
      <c r="H154" s="118">
        <v>0.79812528577960673</v>
      </c>
    </row>
    <row r="155" spans="2:8" ht="15" customHeight="1">
      <c r="B155" s="235" t="s">
        <v>628</v>
      </c>
      <c r="C155" s="118">
        <v>0.19500000000000001</v>
      </c>
      <c r="D155" s="118">
        <v>0.186</v>
      </c>
      <c r="E155" s="118">
        <v>0.19</v>
      </c>
      <c r="F155" s="118">
        <v>0.188</v>
      </c>
      <c r="G155" s="118">
        <v>0.191</v>
      </c>
      <c r="H155" s="118">
        <v>0.20187471422039324</v>
      </c>
    </row>
    <row r="156" spans="2:8" ht="15" customHeight="1">
      <c r="B156" s="96" t="s">
        <v>1120</v>
      </c>
      <c r="C156" s="97">
        <v>1977</v>
      </c>
      <c r="D156" s="97">
        <v>2066</v>
      </c>
      <c r="E156" s="97">
        <v>2158</v>
      </c>
      <c r="F156" s="97">
        <v>2180</v>
      </c>
      <c r="G156" s="97">
        <v>2169</v>
      </c>
      <c r="H156" s="97">
        <v>2190</v>
      </c>
    </row>
    <row r="157" spans="2:8" ht="15" customHeight="1">
      <c r="B157" s="207" t="s">
        <v>625</v>
      </c>
      <c r="C157" s="128">
        <v>1556</v>
      </c>
      <c r="D157" s="128">
        <v>1665</v>
      </c>
      <c r="E157" s="128">
        <v>1734</v>
      </c>
      <c r="F157" s="128">
        <v>1764</v>
      </c>
      <c r="G157" s="128">
        <v>1735</v>
      </c>
      <c r="H157" s="128">
        <v>1737</v>
      </c>
    </row>
    <row r="158" spans="2:8" ht="15" customHeight="1">
      <c r="B158" s="207" t="s">
        <v>626</v>
      </c>
      <c r="C158" s="132">
        <v>421</v>
      </c>
      <c r="D158" s="132">
        <v>401</v>
      </c>
      <c r="E158" s="132">
        <v>424</v>
      </c>
      <c r="F158" s="132">
        <v>416</v>
      </c>
      <c r="G158" s="132">
        <v>434</v>
      </c>
      <c r="H158" s="132">
        <v>453</v>
      </c>
    </row>
    <row r="159" spans="2:8" ht="15" customHeight="1">
      <c r="B159" s="235" t="s">
        <v>627</v>
      </c>
      <c r="C159" s="118">
        <v>0.78700000000000003</v>
      </c>
      <c r="D159" s="118">
        <v>0.80600000000000005</v>
      </c>
      <c r="E159" s="118">
        <v>0.80400000000000005</v>
      </c>
      <c r="F159" s="118">
        <v>0.80900000000000005</v>
      </c>
      <c r="G159" s="118">
        <v>0.8</v>
      </c>
      <c r="H159" s="118">
        <v>0.79315068493150687</v>
      </c>
    </row>
    <row r="160" spans="2:8" ht="15" customHeight="1">
      <c r="B160" s="235" t="s">
        <v>628</v>
      </c>
      <c r="C160" s="118">
        <v>0.21299999999999999</v>
      </c>
      <c r="D160" s="118">
        <v>0.19400000000000001</v>
      </c>
      <c r="E160" s="118">
        <v>0.19700000000000001</v>
      </c>
      <c r="F160" s="118">
        <v>0.191</v>
      </c>
      <c r="G160" s="118">
        <v>0.2</v>
      </c>
      <c r="H160" s="118">
        <v>0.20684931506849316</v>
      </c>
    </row>
    <row r="161" spans="2:8" ht="15" customHeight="1">
      <c r="B161" s="96" t="s">
        <v>1121</v>
      </c>
      <c r="C161" s="97" t="s">
        <v>148</v>
      </c>
      <c r="D161" s="97"/>
      <c r="E161" s="97">
        <v>2164</v>
      </c>
      <c r="F161" s="97">
        <v>2121</v>
      </c>
      <c r="G161" s="97">
        <v>2133</v>
      </c>
      <c r="H161" s="97">
        <v>2184</v>
      </c>
    </row>
    <row r="162" spans="2:8" ht="15" customHeight="1">
      <c r="B162" s="207" t="s">
        <v>625</v>
      </c>
      <c r="C162" s="128">
        <v>1738</v>
      </c>
      <c r="D162" s="128">
        <v>1659</v>
      </c>
      <c r="E162" s="128">
        <v>1766</v>
      </c>
      <c r="F162" s="128">
        <v>1728</v>
      </c>
      <c r="G162" s="128">
        <v>1744</v>
      </c>
      <c r="H162" s="128">
        <v>1754</v>
      </c>
    </row>
    <row r="163" spans="2:8" ht="15" customHeight="1">
      <c r="B163" s="207" t="s">
        <v>626</v>
      </c>
      <c r="C163" s="132">
        <v>379</v>
      </c>
      <c r="D163" s="132">
        <v>361</v>
      </c>
      <c r="E163" s="132">
        <v>398</v>
      </c>
      <c r="F163" s="132">
        <v>393</v>
      </c>
      <c r="G163" s="132">
        <v>389</v>
      </c>
      <c r="H163" s="132">
        <v>430</v>
      </c>
    </row>
    <row r="164" spans="2:8" ht="15" customHeight="1">
      <c r="B164" s="235" t="s">
        <v>627</v>
      </c>
      <c r="C164" s="118">
        <v>0.82099999999999995</v>
      </c>
      <c r="D164" s="118">
        <v>0.82099999999999995</v>
      </c>
      <c r="E164" s="118">
        <v>0.81599999999999995</v>
      </c>
      <c r="F164" s="118">
        <v>0.81499999999999995</v>
      </c>
      <c r="G164" s="118">
        <v>0.81799999999999995</v>
      </c>
      <c r="H164" s="118">
        <v>0.80311355311355315</v>
      </c>
    </row>
    <row r="165" spans="2:8" ht="15" customHeight="1">
      <c r="B165" s="235" t="s">
        <v>628</v>
      </c>
      <c r="C165" s="118">
        <v>0.17899999999999999</v>
      </c>
      <c r="D165" s="118">
        <v>0.17899999999999999</v>
      </c>
      <c r="E165" s="118">
        <v>0.184</v>
      </c>
      <c r="F165" s="118">
        <v>0.185</v>
      </c>
      <c r="G165" s="118">
        <v>0.182</v>
      </c>
      <c r="H165" s="118">
        <v>0.19688644688644688</v>
      </c>
    </row>
    <row r="166" spans="2:8" ht="15" customHeight="1">
      <c r="B166" s="50" t="s">
        <v>431</v>
      </c>
    </row>
    <row r="167" spans="2:8" ht="15" customHeight="1">
      <c r="B167" s="7" t="s">
        <v>314</v>
      </c>
    </row>
    <row r="168" spans="2:8" ht="15" customHeight="1">
      <c r="B168" s="88" t="s">
        <v>142</v>
      </c>
    </row>
    <row r="169" spans="2:8" ht="15" customHeight="1">
      <c r="B169" s="62" t="s">
        <v>376</v>
      </c>
      <c r="C169" s="63">
        <v>2017</v>
      </c>
      <c r="D169" s="63">
        <v>2018</v>
      </c>
      <c r="E169" s="63">
        <v>2019</v>
      </c>
      <c r="F169" s="63" t="s">
        <v>335</v>
      </c>
      <c r="G169" s="63" t="s">
        <v>256</v>
      </c>
      <c r="H169" s="63" t="s">
        <v>257</v>
      </c>
    </row>
    <row r="170" spans="2:8" ht="15" customHeight="1">
      <c r="B170" s="30" t="s">
        <v>1122</v>
      </c>
      <c r="C170" s="31">
        <v>6287</v>
      </c>
      <c r="D170" s="31">
        <v>6072</v>
      </c>
      <c r="E170" s="31">
        <v>6152</v>
      </c>
      <c r="F170" s="31">
        <v>5902</v>
      </c>
      <c r="G170" s="31">
        <v>6083</v>
      </c>
      <c r="H170" s="31">
        <v>5817</v>
      </c>
    </row>
    <row r="171" spans="2:8" ht="15" customHeight="1">
      <c r="B171" s="238" t="s">
        <v>998</v>
      </c>
      <c r="C171" s="144">
        <v>4006</v>
      </c>
      <c r="D171" s="144">
        <v>3822</v>
      </c>
      <c r="E171" s="144">
        <v>3804</v>
      </c>
      <c r="F171" s="144">
        <v>3612</v>
      </c>
      <c r="G171" s="144">
        <v>3568</v>
      </c>
      <c r="H171" s="144">
        <v>3422</v>
      </c>
    </row>
    <row r="172" spans="2:8" ht="15" customHeight="1">
      <c r="B172" s="238" t="s">
        <v>999</v>
      </c>
      <c r="C172" s="144">
        <v>2281</v>
      </c>
      <c r="D172" s="144">
        <v>2250</v>
      </c>
      <c r="E172" s="144">
        <v>2348</v>
      </c>
      <c r="F172" s="144">
        <v>2290</v>
      </c>
      <c r="G172" s="144">
        <v>2515</v>
      </c>
      <c r="H172" s="144">
        <v>2395</v>
      </c>
    </row>
    <row r="173" spans="2:8" ht="15" customHeight="1">
      <c r="B173" s="239" t="s">
        <v>627</v>
      </c>
      <c r="C173" s="234">
        <v>0.63700000000000001</v>
      </c>
      <c r="D173" s="234">
        <v>0.629</v>
      </c>
      <c r="E173" s="234">
        <v>0.61799999999999999</v>
      </c>
      <c r="F173" s="234">
        <v>0.61199999999999999</v>
      </c>
      <c r="G173" s="234">
        <v>0.58699999999999997</v>
      </c>
      <c r="H173" s="234">
        <v>0.58799999999999997</v>
      </c>
    </row>
    <row r="174" spans="2:8" ht="15" customHeight="1">
      <c r="B174" s="239" t="s">
        <v>628</v>
      </c>
      <c r="C174" s="234">
        <v>0.36299999999999999</v>
      </c>
      <c r="D174" s="234">
        <v>0.371</v>
      </c>
      <c r="E174" s="234">
        <v>0.38200000000000001</v>
      </c>
      <c r="F174" s="234">
        <v>0.38800000000000001</v>
      </c>
      <c r="G174" s="234">
        <v>0.41299999999999998</v>
      </c>
      <c r="H174" s="234">
        <v>0.41199999999999998</v>
      </c>
    </row>
    <row r="175" spans="2:8" ht="15" customHeight="1">
      <c r="B175" s="30" t="s">
        <v>1123</v>
      </c>
      <c r="C175" s="31">
        <v>1738</v>
      </c>
      <c r="D175" s="31">
        <v>1716</v>
      </c>
      <c r="E175" s="31">
        <v>1636</v>
      </c>
      <c r="F175" s="31">
        <v>2311</v>
      </c>
      <c r="G175" s="31">
        <v>2415</v>
      </c>
      <c r="H175" s="31">
        <v>2266</v>
      </c>
    </row>
    <row r="176" spans="2:8" ht="15" customHeight="1">
      <c r="B176" s="238" t="s">
        <v>998</v>
      </c>
      <c r="C176" s="144">
        <v>1036</v>
      </c>
      <c r="D176" s="116">
        <v>987</v>
      </c>
      <c r="E176" s="116">
        <v>929</v>
      </c>
      <c r="F176" s="144">
        <v>1317</v>
      </c>
      <c r="G176" s="144">
        <v>1283</v>
      </c>
      <c r="H176" s="144">
        <v>1167</v>
      </c>
    </row>
    <row r="177" spans="2:8" ht="15" customHeight="1">
      <c r="B177" s="238" t="s">
        <v>999</v>
      </c>
      <c r="C177" s="116">
        <v>702</v>
      </c>
      <c r="D177" s="116">
        <v>729</v>
      </c>
      <c r="E177" s="116">
        <v>707</v>
      </c>
      <c r="F177" s="116">
        <v>994</v>
      </c>
      <c r="G177" s="116">
        <v>1132</v>
      </c>
      <c r="H177" s="116">
        <v>1099</v>
      </c>
    </row>
    <row r="178" spans="2:8" ht="15" customHeight="1">
      <c r="B178" s="30" t="s">
        <v>1124</v>
      </c>
      <c r="C178" s="31">
        <v>3103</v>
      </c>
      <c r="D178" s="31">
        <v>3330</v>
      </c>
      <c r="E178" s="31">
        <v>3236</v>
      </c>
      <c r="F178" s="31">
        <v>3107</v>
      </c>
      <c r="G178" s="31">
        <v>3373</v>
      </c>
      <c r="H178" s="31">
        <v>3319</v>
      </c>
    </row>
    <row r="179" spans="2:8" ht="15" customHeight="1">
      <c r="B179" s="238" t="s">
        <v>998</v>
      </c>
      <c r="C179" s="144">
        <v>2019</v>
      </c>
      <c r="D179" s="144">
        <v>2173</v>
      </c>
      <c r="E179" s="144">
        <v>2087</v>
      </c>
      <c r="F179" s="144">
        <v>1976</v>
      </c>
      <c r="G179" s="144">
        <v>2112</v>
      </c>
      <c r="H179" s="144">
        <v>2127</v>
      </c>
    </row>
    <row r="180" spans="2:8" ht="15" customHeight="1">
      <c r="B180" s="238" t="s">
        <v>999</v>
      </c>
      <c r="C180" s="144">
        <v>1084</v>
      </c>
      <c r="D180" s="144">
        <v>1157</v>
      </c>
      <c r="E180" s="144">
        <v>1149</v>
      </c>
      <c r="F180" s="144">
        <v>1131</v>
      </c>
      <c r="G180" s="144">
        <v>1261</v>
      </c>
      <c r="H180" s="144">
        <v>1192</v>
      </c>
    </row>
    <row r="181" spans="2:8" ht="15" customHeight="1">
      <c r="B181" s="30" t="s">
        <v>1125</v>
      </c>
      <c r="C181" s="31">
        <v>1446</v>
      </c>
      <c r="D181" s="31">
        <v>1026</v>
      </c>
      <c r="E181" s="31">
        <v>1280</v>
      </c>
      <c r="F181" s="119">
        <v>484</v>
      </c>
      <c r="G181" s="119">
        <v>295</v>
      </c>
      <c r="H181" s="119">
        <v>232</v>
      </c>
    </row>
    <row r="182" spans="2:8" ht="15" customHeight="1">
      <c r="B182" s="238" t="s">
        <v>998</v>
      </c>
      <c r="C182" s="116">
        <v>951</v>
      </c>
      <c r="D182" s="116">
        <v>662</v>
      </c>
      <c r="E182" s="116">
        <v>788</v>
      </c>
      <c r="F182" s="116">
        <v>319</v>
      </c>
      <c r="G182" s="116">
        <v>173</v>
      </c>
      <c r="H182" s="116">
        <v>128</v>
      </c>
    </row>
    <row r="183" spans="2:8" ht="15" customHeight="1">
      <c r="B183" s="238" t="s">
        <v>999</v>
      </c>
      <c r="C183" s="116">
        <v>495</v>
      </c>
      <c r="D183" s="116">
        <v>364</v>
      </c>
      <c r="E183" s="116">
        <v>492</v>
      </c>
      <c r="F183" s="116">
        <v>165</v>
      </c>
      <c r="G183" s="116">
        <v>122</v>
      </c>
      <c r="H183" s="116">
        <v>104</v>
      </c>
    </row>
    <row r="184" spans="2:8" ht="15" customHeight="1">
      <c r="B184" s="50" t="s">
        <v>431</v>
      </c>
    </row>
    <row r="186" spans="2:8" ht="15" customHeight="1">
      <c r="B186" s="88" t="s">
        <v>143</v>
      </c>
    </row>
    <row r="187" spans="2:8" ht="15" customHeight="1">
      <c r="B187" s="138" t="s">
        <v>376</v>
      </c>
      <c r="C187" s="63">
        <v>2017</v>
      </c>
      <c r="D187" s="63">
        <v>2018</v>
      </c>
      <c r="E187" s="63">
        <v>2019</v>
      </c>
      <c r="F187" s="63" t="s">
        <v>335</v>
      </c>
      <c r="G187" s="63" t="s">
        <v>256</v>
      </c>
      <c r="H187" s="63" t="s">
        <v>257</v>
      </c>
    </row>
    <row r="188" spans="2:8" ht="15" customHeight="1">
      <c r="B188" s="240" t="s">
        <v>1126</v>
      </c>
      <c r="C188" s="195">
        <v>37</v>
      </c>
      <c r="D188" s="195">
        <v>36</v>
      </c>
      <c r="E188" s="195">
        <v>41</v>
      </c>
      <c r="F188" s="195">
        <v>37</v>
      </c>
      <c r="G188" s="195">
        <v>48</v>
      </c>
      <c r="H188" s="350">
        <v>58</v>
      </c>
    </row>
    <row r="189" spans="2:8" ht="15" customHeight="1">
      <c r="B189" s="242" t="s">
        <v>1127</v>
      </c>
      <c r="C189" s="243">
        <v>61</v>
      </c>
      <c r="D189" s="243">
        <v>60</v>
      </c>
      <c r="E189" s="243">
        <v>57</v>
      </c>
      <c r="F189" s="243">
        <v>45</v>
      </c>
      <c r="G189" s="243">
        <v>44</v>
      </c>
      <c r="H189" s="351">
        <v>42</v>
      </c>
    </row>
    <row r="190" spans="2:8" ht="15" customHeight="1">
      <c r="B190" s="240" t="s">
        <v>1128</v>
      </c>
      <c r="C190" s="195">
        <v>28</v>
      </c>
      <c r="D190" s="195">
        <v>30</v>
      </c>
      <c r="E190" s="195">
        <v>33</v>
      </c>
      <c r="F190" s="195">
        <v>28</v>
      </c>
      <c r="G190" s="195">
        <v>29</v>
      </c>
      <c r="H190" s="351">
        <v>26</v>
      </c>
    </row>
    <row r="191" spans="2:8" ht="15" customHeight="1">
      <c r="B191" s="240" t="s">
        <v>1129</v>
      </c>
      <c r="C191" s="195">
        <v>19</v>
      </c>
      <c r="D191" s="195">
        <v>20</v>
      </c>
      <c r="E191" s="195">
        <v>21</v>
      </c>
      <c r="F191" s="195">
        <v>21</v>
      </c>
      <c r="G191" s="195">
        <v>20</v>
      </c>
      <c r="H191" s="351">
        <v>19</v>
      </c>
    </row>
    <row r="192" spans="2:8" ht="15" customHeight="1">
      <c r="B192" s="240" t="s">
        <v>1130</v>
      </c>
      <c r="C192" s="195">
        <v>24</v>
      </c>
      <c r="D192" s="195">
        <v>22</v>
      </c>
      <c r="E192" s="195">
        <v>21</v>
      </c>
      <c r="F192" s="195">
        <v>22</v>
      </c>
      <c r="G192" s="195">
        <v>19</v>
      </c>
      <c r="H192" s="352">
        <v>19</v>
      </c>
    </row>
    <row r="193" spans="2:8" ht="15" customHeight="1">
      <c r="B193" s="50" t="s">
        <v>509</v>
      </c>
    </row>
    <row r="195" spans="2:8" ht="15" customHeight="1">
      <c r="B195" s="25" t="s">
        <v>144</v>
      </c>
    </row>
    <row r="196" spans="2:8" ht="15" customHeight="1">
      <c r="B196" s="5"/>
      <c r="C196" s="6"/>
    </row>
    <row r="197" spans="2:8" ht="15" customHeight="1">
      <c r="B197" s="88" t="s">
        <v>1131</v>
      </c>
    </row>
    <row r="198" spans="2:8" ht="15" customHeight="1">
      <c r="B198" s="138" t="s">
        <v>640</v>
      </c>
      <c r="C198" s="139">
        <v>2017</v>
      </c>
      <c r="D198" s="139">
        <v>2018</v>
      </c>
      <c r="E198" s="139">
        <v>2019</v>
      </c>
      <c r="F198" s="138" t="s">
        <v>1132</v>
      </c>
      <c r="G198" s="138" t="s">
        <v>256</v>
      </c>
      <c r="H198" s="138" t="s">
        <v>257</v>
      </c>
    </row>
    <row r="199" spans="2:8" ht="15" customHeight="1">
      <c r="B199" s="129" t="s">
        <v>1133</v>
      </c>
      <c r="C199" s="140">
        <v>12269</v>
      </c>
      <c r="D199" s="140">
        <v>12622</v>
      </c>
      <c r="E199" s="140">
        <v>12863</v>
      </c>
      <c r="F199" s="140">
        <v>13664</v>
      </c>
      <c r="G199" s="140">
        <v>14265</v>
      </c>
      <c r="H199" s="140">
        <v>17387</v>
      </c>
    </row>
    <row r="200" spans="2:8" ht="15" customHeight="1">
      <c r="B200" s="105" t="s">
        <v>625</v>
      </c>
      <c r="C200" s="244">
        <v>7300</v>
      </c>
      <c r="D200" s="244">
        <v>7513</v>
      </c>
      <c r="E200" s="244">
        <v>7635</v>
      </c>
      <c r="F200" s="244">
        <v>8124</v>
      </c>
      <c r="G200" s="244">
        <v>8506</v>
      </c>
      <c r="H200" s="244">
        <v>10552</v>
      </c>
    </row>
    <row r="201" spans="2:8" ht="15" customHeight="1">
      <c r="B201" s="105" t="s">
        <v>626</v>
      </c>
      <c r="C201" s="244">
        <v>4969</v>
      </c>
      <c r="D201" s="244">
        <v>5109</v>
      </c>
      <c r="E201" s="244">
        <v>5228</v>
      </c>
      <c r="F201" s="244">
        <v>5540</v>
      </c>
      <c r="G201" s="244">
        <v>5759</v>
      </c>
      <c r="H201" s="244">
        <v>6835</v>
      </c>
    </row>
    <row r="202" spans="2:8" ht="15" customHeight="1">
      <c r="B202" s="106" t="s">
        <v>728</v>
      </c>
      <c r="C202" s="246">
        <v>0.59499999999999997</v>
      </c>
      <c r="D202" s="246">
        <v>0.59499999999999997</v>
      </c>
      <c r="E202" s="246">
        <v>0.59399999999999997</v>
      </c>
      <c r="F202" s="246">
        <v>0.59499999999999997</v>
      </c>
      <c r="G202" s="246">
        <v>0.59599999999999997</v>
      </c>
      <c r="H202" s="246">
        <v>0.6069290976058932</v>
      </c>
    </row>
    <row r="203" spans="2:8" ht="15" customHeight="1">
      <c r="B203" s="106" t="s">
        <v>729</v>
      </c>
      <c r="C203" s="246">
        <v>0.40500000000000003</v>
      </c>
      <c r="D203" s="246">
        <v>0.40500000000000003</v>
      </c>
      <c r="E203" s="246">
        <v>0.40600000000000003</v>
      </c>
      <c r="F203" s="246">
        <v>0.40500000000000003</v>
      </c>
      <c r="G203" s="246">
        <v>0.40400000000000003</v>
      </c>
      <c r="H203" s="246">
        <v>0.3930709023941068</v>
      </c>
    </row>
    <row r="204" spans="2:8" ht="15" customHeight="1">
      <c r="B204" s="129" t="s">
        <v>1100</v>
      </c>
      <c r="C204" s="140">
        <v>3416</v>
      </c>
      <c r="D204" s="140">
        <v>3596</v>
      </c>
      <c r="E204" s="140">
        <v>3521</v>
      </c>
      <c r="F204" s="140">
        <v>4322</v>
      </c>
      <c r="G204" s="140">
        <v>4064</v>
      </c>
      <c r="H204" s="140">
        <v>5595</v>
      </c>
    </row>
    <row r="205" spans="2:8" ht="15" customHeight="1">
      <c r="B205" s="105" t="s">
        <v>625</v>
      </c>
      <c r="C205" s="141">
        <v>2112</v>
      </c>
      <c r="D205" s="141">
        <v>2226</v>
      </c>
      <c r="E205" s="141">
        <v>2175</v>
      </c>
      <c r="F205" s="141">
        <v>2753</v>
      </c>
      <c r="G205" s="141">
        <v>2639</v>
      </c>
      <c r="H205" s="141">
        <v>3664</v>
      </c>
    </row>
    <row r="206" spans="2:8" ht="15" customHeight="1">
      <c r="B206" s="105" t="s">
        <v>626</v>
      </c>
      <c r="C206" s="141">
        <v>1304</v>
      </c>
      <c r="D206" s="141">
        <v>1370</v>
      </c>
      <c r="E206" s="141">
        <v>1346</v>
      </c>
      <c r="F206" s="141">
        <v>1569</v>
      </c>
      <c r="G206" s="141">
        <v>1425</v>
      </c>
      <c r="H206" s="141">
        <v>1931</v>
      </c>
    </row>
    <row r="207" spans="2:8" ht="15" customHeight="1">
      <c r="B207" s="129" t="s">
        <v>1101</v>
      </c>
      <c r="C207" s="140">
        <v>4466</v>
      </c>
      <c r="D207" s="140">
        <v>4649</v>
      </c>
      <c r="E207" s="140">
        <v>4561</v>
      </c>
      <c r="F207" s="140">
        <v>4717</v>
      </c>
      <c r="G207" s="140">
        <v>5366</v>
      </c>
      <c r="H207" s="140">
        <v>6097</v>
      </c>
    </row>
    <row r="208" spans="2:8" ht="15" customHeight="1">
      <c r="B208" s="105" t="s">
        <v>625</v>
      </c>
      <c r="C208" s="141">
        <v>2685</v>
      </c>
      <c r="D208" s="141">
        <v>2788</v>
      </c>
      <c r="E208" s="141">
        <v>2740</v>
      </c>
      <c r="F208" s="141">
        <v>2853</v>
      </c>
      <c r="G208" s="141">
        <v>3300</v>
      </c>
      <c r="H208" s="141">
        <v>3783</v>
      </c>
    </row>
    <row r="209" spans="2:8" ht="15" customHeight="1">
      <c r="B209" s="105" t="s">
        <v>626</v>
      </c>
      <c r="C209" s="141">
        <v>1781</v>
      </c>
      <c r="D209" s="141">
        <v>1861</v>
      </c>
      <c r="E209" s="141">
        <v>1821</v>
      </c>
      <c r="F209" s="141">
        <v>1864</v>
      </c>
      <c r="G209" s="141">
        <v>2066</v>
      </c>
      <c r="H209" s="141">
        <v>2314</v>
      </c>
    </row>
    <row r="210" spans="2:8" ht="15" customHeight="1">
      <c r="B210" s="129" t="s">
        <v>1102</v>
      </c>
      <c r="C210" s="140">
        <v>4387</v>
      </c>
      <c r="D210" s="140">
        <v>4377</v>
      </c>
      <c r="E210" s="140">
        <v>4781</v>
      </c>
      <c r="F210" s="140">
        <v>4625</v>
      </c>
      <c r="G210" s="140">
        <v>4835</v>
      </c>
      <c r="H210" s="140">
        <v>5695</v>
      </c>
    </row>
    <row r="211" spans="2:8" ht="15" customHeight="1">
      <c r="B211" s="105" t="s">
        <v>625</v>
      </c>
      <c r="C211" s="245">
        <v>2503</v>
      </c>
      <c r="D211" s="245">
        <v>2499</v>
      </c>
      <c r="E211" s="245">
        <v>2720</v>
      </c>
      <c r="F211" s="245">
        <v>2518</v>
      </c>
      <c r="G211" s="245">
        <v>2567</v>
      </c>
      <c r="H211" s="245">
        <v>3105</v>
      </c>
    </row>
    <row r="212" spans="2:8" ht="15" customHeight="1">
      <c r="B212" s="105" t="s">
        <v>626</v>
      </c>
      <c r="C212" s="245">
        <v>1884</v>
      </c>
      <c r="D212" s="245">
        <v>1878</v>
      </c>
      <c r="E212" s="245">
        <v>2061</v>
      </c>
      <c r="F212" s="245">
        <v>2107</v>
      </c>
      <c r="G212" s="245">
        <v>2268</v>
      </c>
      <c r="H212" s="245">
        <v>2585</v>
      </c>
    </row>
    <row r="213" spans="2:8" ht="15" customHeight="1">
      <c r="B213" s="81" t="s">
        <v>265</v>
      </c>
    </row>
    <row r="214" spans="2:8" ht="15" customHeight="1">
      <c r="B214" s="7" t="s">
        <v>314</v>
      </c>
    </row>
    <row r="215" spans="2:8" ht="15" customHeight="1">
      <c r="B215" s="88" t="s">
        <v>1134</v>
      </c>
    </row>
    <row r="216" spans="2:8" ht="15" customHeight="1">
      <c r="B216" s="95" t="s">
        <v>640</v>
      </c>
      <c r="C216" s="254">
        <v>2017</v>
      </c>
      <c r="D216" s="254">
        <v>2018</v>
      </c>
      <c r="E216" s="254">
        <v>2019</v>
      </c>
      <c r="F216" s="254" t="s">
        <v>1132</v>
      </c>
      <c r="G216" s="254" t="s">
        <v>256</v>
      </c>
      <c r="H216" s="254" t="s">
        <v>257</v>
      </c>
    </row>
    <row r="217" spans="2:8" ht="15" customHeight="1">
      <c r="B217" s="96" t="s">
        <v>1133</v>
      </c>
      <c r="C217" s="524">
        <v>10092</v>
      </c>
      <c r="D217" s="524">
        <v>10373</v>
      </c>
      <c r="E217" s="524">
        <v>10575</v>
      </c>
      <c r="F217" s="524">
        <v>11900</v>
      </c>
      <c r="G217" s="524">
        <v>13272</v>
      </c>
      <c r="H217" s="678">
        <v>15002</v>
      </c>
    </row>
    <row r="218" spans="2:8" ht="15" customHeight="1">
      <c r="B218" s="207" t="s">
        <v>625</v>
      </c>
      <c r="C218" s="301">
        <v>5942</v>
      </c>
      <c r="D218" s="301">
        <v>6079</v>
      </c>
      <c r="E218" s="301">
        <v>6214</v>
      </c>
      <c r="F218" s="301">
        <v>7039</v>
      </c>
      <c r="G218" s="301">
        <v>7929</v>
      </c>
      <c r="H218" s="682">
        <v>9051</v>
      </c>
    </row>
    <row r="219" spans="2:8" ht="15" customHeight="1">
      <c r="B219" s="207" t="s">
        <v>626</v>
      </c>
      <c r="C219" s="301">
        <v>4150</v>
      </c>
      <c r="D219" s="301">
        <v>4294</v>
      </c>
      <c r="E219" s="301">
        <v>4361</v>
      </c>
      <c r="F219" s="301">
        <v>4861</v>
      </c>
      <c r="G219" s="301">
        <v>5343</v>
      </c>
      <c r="H219" s="682">
        <v>5951</v>
      </c>
    </row>
    <row r="220" spans="2:8" ht="15" customHeight="1">
      <c r="B220" s="235" t="s">
        <v>728</v>
      </c>
      <c r="C220" s="320">
        <v>0.58899999999999997</v>
      </c>
      <c r="D220" s="321">
        <v>0.58599999999999997</v>
      </c>
      <c r="E220" s="321">
        <v>0.58799999999999997</v>
      </c>
      <c r="F220" s="321">
        <v>0.59199999999999997</v>
      </c>
      <c r="G220" s="321">
        <v>0.59699999999999998</v>
      </c>
      <c r="H220" s="680">
        <v>0.60299999999999998</v>
      </c>
    </row>
    <row r="221" spans="2:8" ht="15" customHeight="1">
      <c r="B221" s="235" t="s">
        <v>729</v>
      </c>
      <c r="C221" s="320">
        <v>0.41099999999999998</v>
      </c>
      <c r="D221" s="321">
        <v>0.41399999999999998</v>
      </c>
      <c r="E221" s="321">
        <v>0.41199999999999998</v>
      </c>
      <c r="F221" s="321">
        <v>0.40799999999999997</v>
      </c>
      <c r="G221" s="321">
        <v>0.40300000000000002</v>
      </c>
      <c r="H221" s="680">
        <v>0.39700000000000002</v>
      </c>
    </row>
    <row r="222" spans="2:8" ht="15" customHeight="1">
      <c r="B222" s="96" t="s">
        <v>1100</v>
      </c>
      <c r="C222" s="319">
        <v>2435</v>
      </c>
      <c r="D222" s="319">
        <v>2531</v>
      </c>
      <c r="E222" s="319">
        <v>2557</v>
      </c>
      <c r="F222" s="319">
        <v>3367</v>
      </c>
      <c r="G222" s="319">
        <v>4064</v>
      </c>
      <c r="H222" s="678">
        <v>4606</v>
      </c>
    </row>
    <row r="223" spans="2:8" ht="15" customHeight="1">
      <c r="B223" s="207" t="s">
        <v>625</v>
      </c>
      <c r="C223" s="322">
        <v>1493</v>
      </c>
      <c r="D223" s="322">
        <v>1552</v>
      </c>
      <c r="E223" s="322">
        <v>1569</v>
      </c>
      <c r="F223" s="322">
        <v>2143</v>
      </c>
      <c r="G223" s="323">
        <v>2639</v>
      </c>
      <c r="H223" s="681">
        <v>3034</v>
      </c>
    </row>
    <row r="224" spans="2:8" ht="15" customHeight="1">
      <c r="B224" s="207" t="s">
        <v>626</v>
      </c>
      <c r="C224" s="323">
        <v>942</v>
      </c>
      <c r="D224" s="323">
        <v>979</v>
      </c>
      <c r="E224" s="323">
        <v>988</v>
      </c>
      <c r="F224" s="322">
        <v>1224</v>
      </c>
      <c r="G224" s="322">
        <v>1425</v>
      </c>
      <c r="H224" s="679">
        <v>1572</v>
      </c>
    </row>
    <row r="225" spans="2:8" ht="15" customHeight="1">
      <c r="B225" s="96" t="s">
        <v>1101</v>
      </c>
      <c r="C225" s="319">
        <v>4466</v>
      </c>
      <c r="D225" s="319">
        <v>4649</v>
      </c>
      <c r="E225" s="319">
        <v>4561</v>
      </c>
      <c r="F225" s="319">
        <v>4717</v>
      </c>
      <c r="G225" s="319">
        <v>5366</v>
      </c>
      <c r="H225" s="678">
        <v>6097</v>
      </c>
    </row>
    <row r="226" spans="2:8" ht="15" customHeight="1">
      <c r="B226" s="207" t="s">
        <v>625</v>
      </c>
      <c r="C226" s="322">
        <v>2685</v>
      </c>
      <c r="D226" s="322">
        <v>2788</v>
      </c>
      <c r="E226" s="322">
        <v>2740</v>
      </c>
      <c r="F226" s="322">
        <v>2853</v>
      </c>
      <c r="G226" s="323">
        <v>3300</v>
      </c>
      <c r="H226" s="681">
        <v>3783</v>
      </c>
    </row>
    <row r="227" spans="2:8" ht="15" customHeight="1">
      <c r="B227" s="207" t="s">
        <v>626</v>
      </c>
      <c r="C227" s="322">
        <v>1781</v>
      </c>
      <c r="D227" s="322">
        <v>1861</v>
      </c>
      <c r="E227" s="322">
        <v>1821</v>
      </c>
      <c r="F227" s="322">
        <v>1864</v>
      </c>
      <c r="G227" s="322">
        <v>2066</v>
      </c>
      <c r="H227" s="679">
        <v>2314</v>
      </c>
    </row>
    <row r="228" spans="2:8" ht="15" customHeight="1">
      <c r="B228" s="96" t="s">
        <v>1102</v>
      </c>
      <c r="C228" s="319">
        <v>3191</v>
      </c>
      <c r="D228" s="319">
        <v>3193</v>
      </c>
      <c r="E228" s="319">
        <v>3457</v>
      </c>
      <c r="F228" s="319">
        <v>3816</v>
      </c>
      <c r="G228" s="319">
        <v>3842</v>
      </c>
      <c r="H228" s="678">
        <v>4299</v>
      </c>
    </row>
    <row r="229" spans="2:8" ht="15" customHeight="1">
      <c r="B229" s="207" t="s">
        <v>625</v>
      </c>
      <c r="C229" s="683">
        <v>1764</v>
      </c>
      <c r="D229" s="683">
        <v>1739</v>
      </c>
      <c r="E229" s="683">
        <v>1905</v>
      </c>
      <c r="F229" s="683">
        <v>2043</v>
      </c>
      <c r="G229" s="683">
        <v>1990</v>
      </c>
      <c r="H229" s="681">
        <v>2234</v>
      </c>
    </row>
    <row r="230" spans="2:8" ht="15" customHeight="1">
      <c r="B230" s="207" t="s">
        <v>626</v>
      </c>
      <c r="C230" s="683">
        <v>1427</v>
      </c>
      <c r="D230" s="683">
        <v>1454</v>
      </c>
      <c r="E230" s="683">
        <v>1552</v>
      </c>
      <c r="F230" s="683">
        <v>1773</v>
      </c>
      <c r="G230" s="683">
        <v>1852</v>
      </c>
      <c r="H230" s="679">
        <v>2065</v>
      </c>
    </row>
    <row r="231" spans="2:8" ht="15" customHeight="1">
      <c r="B231" s="50" t="s">
        <v>431</v>
      </c>
      <c r="C231" s="684"/>
      <c r="D231" s="684"/>
      <c r="E231" s="684"/>
      <c r="F231" s="684"/>
      <c r="G231" s="684"/>
    </row>
    <row r="233" spans="2:8" ht="15" customHeight="1">
      <c r="B233" s="88" t="s">
        <v>1135</v>
      </c>
    </row>
    <row r="234" spans="2:8" ht="15" customHeight="1">
      <c r="B234" s="548" t="s">
        <v>376</v>
      </c>
      <c r="C234" s="547" t="s">
        <v>422</v>
      </c>
      <c r="D234" s="547" t="s">
        <v>423</v>
      </c>
      <c r="E234" s="547" t="s">
        <v>424</v>
      </c>
      <c r="F234" s="547" t="s">
        <v>335</v>
      </c>
      <c r="G234" s="547" t="s">
        <v>256</v>
      </c>
      <c r="H234" s="71" t="s">
        <v>257</v>
      </c>
    </row>
    <row r="235" spans="2:8" ht="15" customHeight="1">
      <c r="B235" s="96" t="s">
        <v>1136</v>
      </c>
      <c r="C235" s="524">
        <v>2177</v>
      </c>
      <c r="D235" s="524">
        <v>2249</v>
      </c>
      <c r="E235" s="524">
        <v>2288</v>
      </c>
      <c r="F235" s="524">
        <v>1764</v>
      </c>
      <c r="G235" s="524">
        <v>1948</v>
      </c>
      <c r="H235" s="524">
        <v>2385</v>
      </c>
    </row>
    <row r="236" spans="2:8" ht="15" customHeight="1">
      <c r="B236" s="207" t="s">
        <v>625</v>
      </c>
      <c r="C236" s="128">
        <v>1358</v>
      </c>
      <c r="D236" s="128">
        <v>1434</v>
      </c>
      <c r="E236" s="128">
        <v>1421</v>
      </c>
      <c r="F236" s="128">
        <v>1085</v>
      </c>
      <c r="G236" s="128">
        <v>1186</v>
      </c>
      <c r="H236" s="128">
        <v>1501</v>
      </c>
    </row>
    <row r="237" spans="2:8" ht="15" customHeight="1">
      <c r="B237" s="207" t="s">
        <v>626</v>
      </c>
      <c r="C237" s="132">
        <v>819</v>
      </c>
      <c r="D237" s="132">
        <v>815</v>
      </c>
      <c r="E237" s="132">
        <v>867</v>
      </c>
      <c r="F237" s="132">
        <v>679</v>
      </c>
      <c r="G237" s="132">
        <v>762</v>
      </c>
      <c r="H237" s="132">
        <v>884</v>
      </c>
    </row>
    <row r="238" spans="2:8" ht="15" customHeight="1">
      <c r="B238" s="235" t="s">
        <v>627</v>
      </c>
      <c r="C238" s="118">
        <v>0.624</v>
      </c>
      <c r="D238" s="118">
        <v>0.63800000000000001</v>
      </c>
      <c r="E238" s="118">
        <v>0.621</v>
      </c>
      <c r="F238" s="118">
        <v>0.61499999999999999</v>
      </c>
      <c r="G238" s="118">
        <v>0.60899999999999999</v>
      </c>
      <c r="H238" s="118">
        <v>0.629</v>
      </c>
    </row>
    <row r="239" spans="2:8" ht="15" customHeight="1">
      <c r="B239" s="235" t="s">
        <v>628</v>
      </c>
      <c r="C239" s="118">
        <v>0.376</v>
      </c>
      <c r="D239" s="118">
        <v>0.36199999999999999</v>
      </c>
      <c r="E239" s="118">
        <v>0.379</v>
      </c>
      <c r="F239" s="118">
        <v>0.38500000000000001</v>
      </c>
      <c r="G239" s="118">
        <v>0.39100000000000001</v>
      </c>
      <c r="H239" s="118">
        <v>0.371</v>
      </c>
    </row>
    <row r="240" spans="2:8" ht="15" customHeight="1">
      <c r="B240" s="96" t="s">
        <v>1105</v>
      </c>
      <c r="C240" s="107">
        <v>981</v>
      </c>
      <c r="D240" s="524">
        <v>1065</v>
      </c>
      <c r="E240" s="107">
        <v>964</v>
      </c>
      <c r="F240" s="107">
        <v>955</v>
      </c>
      <c r="G240" s="107">
        <v>955</v>
      </c>
      <c r="H240" s="107">
        <v>989</v>
      </c>
    </row>
    <row r="241" spans="2:8" ht="15" customHeight="1">
      <c r="B241" s="207" t="s">
        <v>625</v>
      </c>
      <c r="C241" s="132">
        <v>619</v>
      </c>
      <c r="D241" s="132">
        <v>674</v>
      </c>
      <c r="E241" s="132">
        <v>606</v>
      </c>
      <c r="F241" s="132">
        <v>610</v>
      </c>
      <c r="G241" s="132">
        <v>609</v>
      </c>
      <c r="H241" s="132">
        <v>630</v>
      </c>
    </row>
    <row r="242" spans="2:8" ht="15" customHeight="1">
      <c r="B242" s="207" t="s">
        <v>626</v>
      </c>
      <c r="C242" s="132">
        <v>362</v>
      </c>
      <c r="D242" s="132">
        <v>391</v>
      </c>
      <c r="E242" s="132">
        <v>358</v>
      </c>
      <c r="F242" s="132">
        <v>345</v>
      </c>
      <c r="G242" s="132">
        <v>346</v>
      </c>
      <c r="H242" s="132">
        <v>359</v>
      </c>
    </row>
    <row r="243" spans="2:8" ht="15" customHeight="1">
      <c r="B243" s="96" t="s">
        <v>1106</v>
      </c>
      <c r="C243" s="524">
        <v>1196</v>
      </c>
      <c r="D243" s="524">
        <v>1184</v>
      </c>
      <c r="E243" s="524">
        <v>1324</v>
      </c>
      <c r="F243" s="107">
        <v>809</v>
      </c>
      <c r="G243" s="107">
        <v>993</v>
      </c>
      <c r="H243" s="107">
        <v>1396</v>
      </c>
    </row>
    <row r="244" spans="2:8" ht="15" customHeight="1">
      <c r="B244" s="207" t="s">
        <v>625</v>
      </c>
      <c r="C244" s="132">
        <v>739</v>
      </c>
      <c r="D244" s="132">
        <v>760</v>
      </c>
      <c r="E244" s="132">
        <v>815</v>
      </c>
      <c r="F244" s="132">
        <v>475</v>
      </c>
      <c r="G244" s="132">
        <v>577</v>
      </c>
      <c r="H244" s="132">
        <v>871</v>
      </c>
    </row>
    <row r="245" spans="2:8" ht="15" customHeight="1">
      <c r="B245" s="207" t="s">
        <v>626</v>
      </c>
      <c r="C245" s="132">
        <v>457</v>
      </c>
      <c r="D245" s="132">
        <v>424</v>
      </c>
      <c r="E245" s="132">
        <v>509</v>
      </c>
      <c r="F245" s="132">
        <v>334</v>
      </c>
      <c r="G245" s="132">
        <v>416</v>
      </c>
      <c r="H245" s="132">
        <v>525</v>
      </c>
    </row>
    <row r="246" spans="2:8" ht="15" customHeight="1">
      <c r="B246" s="686"/>
      <c r="C246" s="687"/>
      <c r="D246" s="687"/>
      <c r="E246" s="687"/>
      <c r="F246" s="687"/>
      <c r="G246" s="687"/>
      <c r="H246" s="687"/>
    </row>
    <row r="247" spans="2:8" ht="15" customHeight="1">
      <c r="B247" s="25" t="s">
        <v>1688</v>
      </c>
      <c r="C247" s="412"/>
      <c r="D247" s="413"/>
      <c r="E247" s="413"/>
      <c r="F247" s="413"/>
      <c r="G247" s="413"/>
      <c r="H247" s="413"/>
    </row>
    <row r="248" spans="2:8" ht="15" customHeight="1">
      <c r="B248" s="412"/>
      <c r="C248" s="413"/>
      <c r="D248" s="413"/>
      <c r="E248" s="413"/>
      <c r="F248" s="413"/>
      <c r="G248" s="413"/>
      <c r="H248" s="413"/>
    </row>
    <row r="249" spans="2:8" ht="15" customHeight="1">
      <c r="B249" s="4" t="s">
        <v>1690</v>
      </c>
      <c r="C249" s="413"/>
      <c r="D249" s="413"/>
      <c r="E249" s="413"/>
      <c r="F249" s="413"/>
      <c r="G249" s="413"/>
      <c r="H249" s="413"/>
    </row>
    <row r="250" spans="2:8" ht="15" customHeight="1">
      <c r="B250" s="412"/>
      <c r="C250" s="413"/>
      <c r="D250" s="413"/>
      <c r="E250" s="413"/>
      <c r="F250" s="413"/>
      <c r="G250" s="413"/>
      <c r="H250" s="413"/>
    </row>
    <row r="251" spans="2:8" ht="15" customHeight="1">
      <c r="B251" s="414" t="s">
        <v>640</v>
      </c>
      <c r="C251" s="784">
        <v>2017</v>
      </c>
      <c r="D251" s="784">
        <v>2018</v>
      </c>
      <c r="E251" s="784">
        <v>2019</v>
      </c>
      <c r="F251" s="785" t="s">
        <v>335</v>
      </c>
      <c r="G251" s="786" t="s">
        <v>256</v>
      </c>
      <c r="H251" s="786" t="s">
        <v>257</v>
      </c>
    </row>
    <row r="252" spans="2:8" ht="15" customHeight="1">
      <c r="B252" s="417" t="s">
        <v>1137</v>
      </c>
      <c r="C252" s="787">
        <v>81133</v>
      </c>
      <c r="D252" s="787">
        <v>82030</v>
      </c>
      <c r="E252" s="787">
        <v>84969</v>
      </c>
      <c r="F252" s="787">
        <v>109178</v>
      </c>
      <c r="G252" s="788">
        <v>113288</v>
      </c>
      <c r="H252" s="787">
        <v>125462</v>
      </c>
    </row>
    <row r="253" spans="2:8" ht="15" customHeight="1">
      <c r="B253" s="796" t="s">
        <v>976</v>
      </c>
      <c r="C253" s="789">
        <v>20</v>
      </c>
      <c r="D253" s="789">
        <v>24</v>
      </c>
      <c r="E253" s="789">
        <v>26</v>
      </c>
      <c r="F253" s="789">
        <v>21</v>
      </c>
      <c r="G253" s="790">
        <v>26</v>
      </c>
      <c r="H253" s="789">
        <v>28</v>
      </c>
    </row>
    <row r="254" spans="2:8" ht="15" customHeight="1">
      <c r="B254" s="421" t="s">
        <v>625</v>
      </c>
      <c r="C254" s="791">
        <v>15</v>
      </c>
      <c r="D254" s="791">
        <v>18</v>
      </c>
      <c r="E254" s="791">
        <v>20</v>
      </c>
      <c r="F254" s="791">
        <v>17</v>
      </c>
      <c r="G254" s="792">
        <v>20</v>
      </c>
      <c r="H254" s="791">
        <v>24</v>
      </c>
    </row>
    <row r="255" spans="2:8" ht="15" customHeight="1">
      <c r="B255" s="421" t="s">
        <v>626</v>
      </c>
      <c r="C255" s="791">
        <v>5</v>
      </c>
      <c r="D255" s="791">
        <v>6</v>
      </c>
      <c r="E255" s="791">
        <v>6</v>
      </c>
      <c r="F255" s="791">
        <v>4</v>
      </c>
      <c r="G255" s="792">
        <v>6</v>
      </c>
      <c r="H255" s="791">
        <v>4</v>
      </c>
    </row>
    <row r="256" spans="2:8" ht="15" customHeight="1">
      <c r="B256" s="796" t="s">
        <v>975</v>
      </c>
      <c r="C256" s="789">
        <v>224</v>
      </c>
      <c r="D256" s="789">
        <v>236</v>
      </c>
      <c r="E256" s="789">
        <v>256</v>
      </c>
      <c r="F256" s="789">
        <v>258</v>
      </c>
      <c r="G256" s="790">
        <v>451</v>
      </c>
      <c r="H256" s="789">
        <v>531</v>
      </c>
    </row>
    <row r="257" spans="2:8" ht="15" customHeight="1">
      <c r="B257" s="421" t="s">
        <v>625</v>
      </c>
      <c r="C257" s="791">
        <v>176</v>
      </c>
      <c r="D257" s="791">
        <v>174</v>
      </c>
      <c r="E257" s="791">
        <v>181</v>
      </c>
      <c r="F257" s="791">
        <v>189</v>
      </c>
      <c r="G257" s="792">
        <v>344</v>
      </c>
      <c r="H257" s="791">
        <v>398</v>
      </c>
    </row>
    <row r="258" spans="2:8" ht="15" customHeight="1">
      <c r="B258" s="421" t="s">
        <v>626</v>
      </c>
      <c r="C258" s="791">
        <v>48</v>
      </c>
      <c r="D258" s="791">
        <v>62</v>
      </c>
      <c r="E258" s="791">
        <v>75</v>
      </c>
      <c r="F258" s="791">
        <v>69</v>
      </c>
      <c r="G258" s="792">
        <v>107</v>
      </c>
      <c r="H258" s="791">
        <v>133</v>
      </c>
    </row>
    <row r="259" spans="2:8" ht="15" customHeight="1">
      <c r="B259" s="796" t="s">
        <v>1138</v>
      </c>
      <c r="C259" s="789">
        <v>16243</v>
      </c>
      <c r="D259" s="789">
        <v>16741</v>
      </c>
      <c r="E259" s="789">
        <v>17427</v>
      </c>
      <c r="F259" s="789">
        <v>22241</v>
      </c>
      <c r="G259" s="790">
        <v>23772</v>
      </c>
      <c r="H259" s="789">
        <v>27644</v>
      </c>
    </row>
    <row r="260" spans="2:8" ht="15" customHeight="1">
      <c r="B260" s="421" t="s">
        <v>625</v>
      </c>
      <c r="C260" s="791">
        <v>11428</v>
      </c>
      <c r="D260" s="791">
        <v>11665</v>
      </c>
      <c r="E260" s="791">
        <v>12117</v>
      </c>
      <c r="F260" s="791">
        <v>15004</v>
      </c>
      <c r="G260" s="792">
        <v>15460</v>
      </c>
      <c r="H260" s="791">
        <v>17688</v>
      </c>
    </row>
    <row r="261" spans="2:8" ht="15" customHeight="1">
      <c r="B261" s="421" t="s">
        <v>626</v>
      </c>
      <c r="C261" s="791">
        <v>4815</v>
      </c>
      <c r="D261" s="791">
        <v>5076</v>
      </c>
      <c r="E261" s="791">
        <v>5310</v>
      </c>
      <c r="F261" s="791">
        <v>7237</v>
      </c>
      <c r="G261" s="792">
        <v>8312</v>
      </c>
      <c r="H261" s="791">
        <v>9956</v>
      </c>
    </row>
    <row r="262" spans="2:8" ht="15" customHeight="1">
      <c r="B262" s="796" t="s">
        <v>1139</v>
      </c>
      <c r="C262" s="789">
        <v>8374</v>
      </c>
      <c r="D262" s="789">
        <v>8380</v>
      </c>
      <c r="E262" s="789">
        <v>8529</v>
      </c>
      <c r="F262" s="789">
        <v>11928</v>
      </c>
      <c r="G262" s="790">
        <v>14984</v>
      </c>
      <c r="H262" s="789">
        <v>13555</v>
      </c>
    </row>
    <row r="263" spans="2:8" ht="15" customHeight="1">
      <c r="B263" s="421" t="s">
        <v>625</v>
      </c>
      <c r="C263" s="791">
        <v>5987</v>
      </c>
      <c r="D263" s="791">
        <v>5956</v>
      </c>
      <c r="E263" s="791">
        <v>6018</v>
      </c>
      <c r="F263" s="791">
        <v>7901</v>
      </c>
      <c r="G263" s="792">
        <v>9811</v>
      </c>
      <c r="H263" s="791">
        <v>8785</v>
      </c>
    </row>
    <row r="264" spans="2:8" ht="15" customHeight="1">
      <c r="B264" s="421" t="s">
        <v>626</v>
      </c>
      <c r="C264" s="791">
        <v>2387</v>
      </c>
      <c r="D264" s="791">
        <v>2424</v>
      </c>
      <c r="E264" s="791">
        <v>2511</v>
      </c>
      <c r="F264" s="791">
        <v>4027</v>
      </c>
      <c r="G264" s="792">
        <v>5173</v>
      </c>
      <c r="H264" s="791">
        <v>4770</v>
      </c>
    </row>
    <row r="265" spans="2:8" ht="31.5" customHeight="1">
      <c r="B265" s="796" t="s">
        <v>1140</v>
      </c>
      <c r="C265" s="789">
        <v>54081</v>
      </c>
      <c r="D265" s="789">
        <v>54737</v>
      </c>
      <c r="E265" s="789">
        <v>56899</v>
      </c>
      <c r="F265" s="789">
        <v>72950</v>
      </c>
      <c r="G265" s="790">
        <v>73578</v>
      </c>
      <c r="H265" s="789">
        <v>83178</v>
      </c>
    </row>
    <row r="266" spans="2:8" ht="15" customHeight="1">
      <c r="B266" s="421" t="s">
        <v>625</v>
      </c>
      <c r="C266" s="791">
        <v>24252</v>
      </c>
      <c r="D266" s="791">
        <v>24198</v>
      </c>
      <c r="E266" s="791">
        <v>24591</v>
      </c>
      <c r="F266" s="791">
        <v>29496</v>
      </c>
      <c r="G266" s="792">
        <v>30348</v>
      </c>
      <c r="H266" s="791">
        <v>34893</v>
      </c>
    </row>
    <row r="267" spans="2:8" ht="15" customHeight="1">
      <c r="B267" s="421" t="s">
        <v>626</v>
      </c>
      <c r="C267" s="791">
        <v>29829</v>
      </c>
      <c r="D267" s="791">
        <v>30539</v>
      </c>
      <c r="E267" s="791">
        <v>32308</v>
      </c>
      <c r="F267" s="791">
        <v>43454</v>
      </c>
      <c r="G267" s="792">
        <v>43230</v>
      </c>
      <c r="H267" s="791">
        <v>48285</v>
      </c>
    </row>
    <row r="268" spans="2:8" ht="15" customHeight="1">
      <c r="B268" s="796" t="s">
        <v>1141</v>
      </c>
      <c r="C268" s="789">
        <v>2191</v>
      </c>
      <c r="D268" s="789">
        <v>1912</v>
      </c>
      <c r="E268" s="789">
        <v>1832</v>
      </c>
      <c r="F268" s="789">
        <v>1780</v>
      </c>
      <c r="G268" s="790">
        <v>477</v>
      </c>
      <c r="H268" s="789">
        <v>526</v>
      </c>
    </row>
    <row r="269" spans="2:8" ht="15" customHeight="1">
      <c r="B269" s="421" t="s">
        <v>625</v>
      </c>
      <c r="C269" s="791">
        <v>906</v>
      </c>
      <c r="D269" s="791">
        <v>812</v>
      </c>
      <c r="E269" s="791">
        <v>783</v>
      </c>
      <c r="F269" s="791">
        <v>749</v>
      </c>
      <c r="G269" s="792">
        <v>198</v>
      </c>
      <c r="H269" s="791">
        <v>227</v>
      </c>
    </row>
    <row r="270" spans="2:8" ht="15" customHeight="1">
      <c r="B270" s="421" t="s">
        <v>626</v>
      </c>
      <c r="C270" s="791">
        <v>1285</v>
      </c>
      <c r="D270" s="791">
        <v>1100</v>
      </c>
      <c r="E270" s="791">
        <v>1049</v>
      </c>
      <c r="F270" s="791">
        <v>1031</v>
      </c>
      <c r="G270" s="792">
        <v>279</v>
      </c>
      <c r="H270" s="791">
        <v>299</v>
      </c>
    </row>
    <row r="271" spans="2:8" ht="15" customHeight="1">
      <c r="B271" s="8" t="s">
        <v>1142</v>
      </c>
      <c r="C271" s="413"/>
      <c r="D271" s="413"/>
      <c r="E271" s="413"/>
      <c r="F271" s="413"/>
      <c r="G271" s="413"/>
    </row>
    <row r="272" spans="2:8" ht="15" customHeight="1">
      <c r="B272" s="412"/>
      <c r="C272" s="413"/>
      <c r="D272" s="413"/>
      <c r="E272" s="413"/>
      <c r="F272" s="413"/>
      <c r="G272" s="413"/>
    </row>
    <row r="273" spans="2:14" ht="15" customHeight="1">
      <c r="B273" s="88" t="s">
        <v>1689</v>
      </c>
    </row>
    <row r="274" spans="2:14" ht="15" customHeight="1">
      <c r="B274" s="423" t="s">
        <v>640</v>
      </c>
      <c r="C274" s="424">
        <v>2017</v>
      </c>
      <c r="D274" s="424">
        <v>2018</v>
      </c>
      <c r="E274" s="424">
        <v>2019</v>
      </c>
      <c r="F274" s="424" t="s">
        <v>335</v>
      </c>
      <c r="G274" s="780" t="s">
        <v>256</v>
      </c>
      <c r="H274" s="416" t="s">
        <v>257</v>
      </c>
    </row>
    <row r="275" spans="2:14" ht="15" customHeight="1">
      <c r="B275" s="425" t="s">
        <v>1137</v>
      </c>
      <c r="C275" s="426">
        <v>70851</v>
      </c>
      <c r="D275" s="426">
        <v>71468</v>
      </c>
      <c r="E275" s="426">
        <v>74212</v>
      </c>
      <c r="F275" s="426">
        <v>97065</v>
      </c>
      <c r="G275" s="781">
        <v>99920</v>
      </c>
      <c r="H275" s="418">
        <v>110460</v>
      </c>
    </row>
    <row r="276" spans="2:14" ht="15" customHeight="1">
      <c r="B276" s="797" t="s">
        <v>976</v>
      </c>
      <c r="C276" s="428">
        <v>4</v>
      </c>
      <c r="D276" s="428">
        <v>5</v>
      </c>
      <c r="E276" s="428">
        <v>4</v>
      </c>
      <c r="F276" s="428">
        <v>2</v>
      </c>
      <c r="G276" s="782">
        <v>7</v>
      </c>
      <c r="H276" s="420">
        <v>0</v>
      </c>
    </row>
    <row r="277" spans="2:14" ht="15" customHeight="1">
      <c r="B277" s="429" t="s">
        <v>625</v>
      </c>
      <c r="C277" s="430">
        <v>3</v>
      </c>
      <c r="D277" s="430">
        <v>4</v>
      </c>
      <c r="E277" s="430">
        <v>2</v>
      </c>
      <c r="F277" s="430">
        <v>1</v>
      </c>
      <c r="G277" s="783">
        <v>3</v>
      </c>
      <c r="H277" s="422">
        <v>0</v>
      </c>
    </row>
    <row r="278" spans="2:14" ht="15" customHeight="1">
      <c r="B278" s="429" t="s">
        <v>626</v>
      </c>
      <c r="C278" s="430">
        <v>1</v>
      </c>
      <c r="D278" s="430">
        <v>1</v>
      </c>
      <c r="E278" s="430">
        <v>2</v>
      </c>
      <c r="F278" s="430">
        <v>1</v>
      </c>
      <c r="G278" s="783">
        <v>4</v>
      </c>
      <c r="H278" s="422">
        <v>0</v>
      </c>
    </row>
    <row r="279" spans="2:14" ht="15" customHeight="1">
      <c r="B279" s="797" t="s">
        <v>975</v>
      </c>
      <c r="C279" s="428">
        <v>77</v>
      </c>
      <c r="D279" s="428">
        <v>77</v>
      </c>
      <c r="E279" s="428">
        <v>81</v>
      </c>
      <c r="F279" s="428">
        <v>62</v>
      </c>
      <c r="G279" s="782">
        <v>174</v>
      </c>
      <c r="H279" s="420">
        <v>1</v>
      </c>
    </row>
    <row r="280" spans="2:14" ht="15" customHeight="1">
      <c r="B280" s="429" t="s">
        <v>625</v>
      </c>
      <c r="C280" s="430">
        <v>60</v>
      </c>
      <c r="D280" s="430">
        <v>60</v>
      </c>
      <c r="E280" s="430">
        <v>59</v>
      </c>
      <c r="F280" s="430">
        <v>45</v>
      </c>
      <c r="G280" s="783">
        <v>131</v>
      </c>
      <c r="H280" s="422">
        <v>1</v>
      </c>
    </row>
    <row r="281" spans="2:14" ht="15" customHeight="1">
      <c r="B281" s="429" t="s">
        <v>626</v>
      </c>
      <c r="C281" s="430">
        <v>17</v>
      </c>
      <c r="D281" s="430">
        <v>17</v>
      </c>
      <c r="E281" s="430">
        <v>22</v>
      </c>
      <c r="F281" s="430">
        <v>17</v>
      </c>
      <c r="G281" s="783">
        <v>43</v>
      </c>
      <c r="H281" s="422">
        <v>0</v>
      </c>
    </row>
    <row r="282" spans="2:14" ht="15" customHeight="1">
      <c r="B282" s="797" t="s">
        <v>1138</v>
      </c>
      <c r="C282" s="428">
        <v>11685</v>
      </c>
      <c r="D282" s="428">
        <v>11943</v>
      </c>
      <c r="E282" s="428">
        <v>12463</v>
      </c>
      <c r="F282" s="428">
        <v>16412</v>
      </c>
      <c r="G282" s="782">
        <v>18019</v>
      </c>
      <c r="H282" s="420">
        <v>20914</v>
      </c>
      <c r="N282" s="17" t="s">
        <v>704</v>
      </c>
    </row>
    <row r="283" spans="2:14" ht="15" customHeight="1">
      <c r="B283" s="429" t="s">
        <v>625</v>
      </c>
      <c r="C283" s="430">
        <v>8422</v>
      </c>
      <c r="D283" s="430">
        <v>8527</v>
      </c>
      <c r="E283" s="430">
        <v>8885</v>
      </c>
      <c r="F283" s="430">
        <v>11213</v>
      </c>
      <c r="G283" s="783">
        <v>11690</v>
      </c>
      <c r="H283" s="422">
        <v>13687</v>
      </c>
    </row>
    <row r="284" spans="2:14" ht="15" customHeight="1">
      <c r="B284" s="429" t="s">
        <v>626</v>
      </c>
      <c r="C284" s="430">
        <v>3263</v>
      </c>
      <c r="D284" s="430">
        <v>3416</v>
      </c>
      <c r="E284" s="430">
        <v>3578</v>
      </c>
      <c r="F284" s="430">
        <v>5199</v>
      </c>
      <c r="G284" s="783">
        <v>6329</v>
      </c>
      <c r="H284" s="422">
        <v>7227</v>
      </c>
    </row>
    <row r="285" spans="2:14" ht="15" customHeight="1">
      <c r="B285" s="797" t="s">
        <v>1139</v>
      </c>
      <c r="C285" s="428">
        <v>7581</v>
      </c>
      <c r="D285" s="428">
        <v>7600</v>
      </c>
      <c r="E285" s="428">
        <v>7731</v>
      </c>
      <c r="F285" s="428">
        <v>11109</v>
      </c>
      <c r="G285" s="782">
        <v>12857</v>
      </c>
      <c r="H285" s="420">
        <v>11791</v>
      </c>
    </row>
    <row r="286" spans="2:14" ht="15" customHeight="1">
      <c r="B286" s="429" t="s">
        <v>625</v>
      </c>
      <c r="C286" s="430">
        <v>5510</v>
      </c>
      <c r="D286" s="430">
        <v>5510</v>
      </c>
      <c r="E286" s="430">
        <v>5556</v>
      </c>
      <c r="F286" s="430">
        <v>7427</v>
      </c>
      <c r="G286" s="783">
        <v>8546</v>
      </c>
      <c r="H286" s="422">
        <v>7813</v>
      </c>
    </row>
    <row r="287" spans="2:14" ht="15" customHeight="1">
      <c r="B287" s="429" t="s">
        <v>626</v>
      </c>
      <c r="C287" s="430">
        <v>2071</v>
      </c>
      <c r="D287" s="430">
        <v>2090</v>
      </c>
      <c r="E287" s="430">
        <v>2175</v>
      </c>
      <c r="F287" s="430">
        <v>3682</v>
      </c>
      <c r="G287" s="783">
        <v>4311</v>
      </c>
      <c r="H287" s="422">
        <v>3978</v>
      </c>
    </row>
    <row r="288" spans="2:14" ht="29" customHeight="1">
      <c r="B288" s="797" t="s">
        <v>1140</v>
      </c>
      <c r="C288" s="428">
        <v>49773</v>
      </c>
      <c r="D288" s="428">
        <v>50365</v>
      </c>
      <c r="E288" s="428">
        <v>52517</v>
      </c>
      <c r="F288" s="428">
        <v>68123</v>
      </c>
      <c r="G288" s="782">
        <v>68650</v>
      </c>
      <c r="H288" s="420">
        <v>77513</v>
      </c>
    </row>
    <row r="289" spans="2:8" ht="15" customHeight="1">
      <c r="B289" s="429" t="s">
        <v>625</v>
      </c>
      <c r="C289" s="430">
        <v>22069</v>
      </c>
      <c r="D289" s="430">
        <v>21977</v>
      </c>
      <c r="E289" s="430">
        <v>22350</v>
      </c>
      <c r="F289" s="430">
        <v>27007</v>
      </c>
      <c r="G289" s="783">
        <v>27763</v>
      </c>
      <c r="H289" s="422">
        <v>31366</v>
      </c>
    </row>
    <row r="290" spans="2:8" ht="15" customHeight="1">
      <c r="B290" s="429" t="s">
        <v>626</v>
      </c>
      <c r="C290" s="430">
        <v>27704</v>
      </c>
      <c r="D290" s="430">
        <v>28388</v>
      </c>
      <c r="E290" s="430">
        <v>30167</v>
      </c>
      <c r="F290" s="430">
        <v>41116</v>
      </c>
      <c r="G290" s="783">
        <v>40887</v>
      </c>
      <c r="H290" s="422">
        <v>46147</v>
      </c>
    </row>
    <row r="291" spans="2:8" ht="15" customHeight="1">
      <c r="B291" s="797" t="s">
        <v>1141</v>
      </c>
      <c r="C291" s="428">
        <v>1731</v>
      </c>
      <c r="D291" s="428">
        <v>1478</v>
      </c>
      <c r="E291" s="428">
        <v>1416</v>
      </c>
      <c r="F291" s="428">
        <v>1357</v>
      </c>
      <c r="G291" s="782">
        <v>213</v>
      </c>
      <c r="H291" s="420">
        <v>241</v>
      </c>
    </row>
    <row r="292" spans="2:8" ht="15" customHeight="1">
      <c r="B292" s="429" t="s">
        <v>625</v>
      </c>
      <c r="C292" s="430">
        <v>674</v>
      </c>
      <c r="D292" s="430">
        <v>565</v>
      </c>
      <c r="E292" s="430">
        <v>536</v>
      </c>
      <c r="F292" s="430">
        <v>536</v>
      </c>
      <c r="G292" s="783">
        <v>81</v>
      </c>
      <c r="H292" s="422">
        <v>96</v>
      </c>
    </row>
    <row r="293" spans="2:8" ht="15" customHeight="1">
      <c r="B293" s="429" t="s">
        <v>626</v>
      </c>
      <c r="C293" s="430">
        <v>1057</v>
      </c>
      <c r="D293" s="430">
        <v>913</v>
      </c>
      <c r="E293" s="430">
        <v>880</v>
      </c>
      <c r="F293" s="430">
        <v>821</v>
      </c>
      <c r="G293" s="783">
        <v>132</v>
      </c>
      <c r="H293" s="422">
        <v>153</v>
      </c>
    </row>
    <row r="294" spans="2:8" ht="15" customHeight="1">
      <c r="B294" s="156" t="s">
        <v>1143</v>
      </c>
    </row>
    <row r="296" spans="2:8" ht="15" customHeight="1">
      <c r="B296" s="88" t="s">
        <v>1699</v>
      </c>
    </row>
    <row r="297" spans="2:8" ht="15" customHeight="1">
      <c r="B297" s="414" t="s">
        <v>640</v>
      </c>
      <c r="C297" s="415">
        <v>2017</v>
      </c>
      <c r="D297" s="415">
        <v>2018</v>
      </c>
      <c r="E297" s="415">
        <v>2019</v>
      </c>
      <c r="F297" s="416" t="s">
        <v>335</v>
      </c>
      <c r="G297" s="431" t="s">
        <v>256</v>
      </c>
      <c r="H297" s="416" t="s">
        <v>257</v>
      </c>
    </row>
    <row r="298" spans="2:8" ht="15" customHeight="1">
      <c r="B298" s="417" t="s">
        <v>1137</v>
      </c>
      <c r="C298" s="418">
        <v>10092</v>
      </c>
      <c r="D298" s="418">
        <v>10373</v>
      </c>
      <c r="E298" s="418">
        <v>10575</v>
      </c>
      <c r="F298" s="418">
        <v>11900</v>
      </c>
      <c r="G298" s="777">
        <v>13272</v>
      </c>
      <c r="H298" s="418">
        <f t="shared" ref="H298:H316" si="0">H252-H275</f>
        <v>15002</v>
      </c>
    </row>
    <row r="299" spans="2:8" ht="15" customHeight="1">
      <c r="B299" s="796" t="s">
        <v>976</v>
      </c>
      <c r="C299" s="420">
        <v>16</v>
      </c>
      <c r="D299" s="420">
        <v>19</v>
      </c>
      <c r="E299" s="420">
        <v>22</v>
      </c>
      <c r="F299" s="420">
        <v>19</v>
      </c>
      <c r="G299" s="778">
        <v>19</v>
      </c>
      <c r="H299" s="420">
        <f t="shared" si="0"/>
        <v>28</v>
      </c>
    </row>
    <row r="300" spans="2:8" ht="15" customHeight="1">
      <c r="B300" s="421" t="s">
        <v>625</v>
      </c>
      <c r="C300" s="422">
        <v>12</v>
      </c>
      <c r="D300" s="422">
        <v>14</v>
      </c>
      <c r="E300" s="422">
        <v>18</v>
      </c>
      <c r="F300" s="422">
        <v>16</v>
      </c>
      <c r="G300" s="779">
        <v>17</v>
      </c>
      <c r="H300" s="422">
        <f t="shared" si="0"/>
        <v>24</v>
      </c>
    </row>
    <row r="301" spans="2:8" ht="15" customHeight="1">
      <c r="B301" s="421" t="s">
        <v>626</v>
      </c>
      <c r="C301" s="422">
        <v>4</v>
      </c>
      <c r="D301" s="422">
        <v>5</v>
      </c>
      <c r="E301" s="422">
        <v>4</v>
      </c>
      <c r="F301" s="422">
        <v>3</v>
      </c>
      <c r="G301" s="779">
        <v>2</v>
      </c>
      <c r="H301" s="422">
        <f t="shared" si="0"/>
        <v>4</v>
      </c>
    </row>
    <row r="302" spans="2:8" ht="15" customHeight="1">
      <c r="B302" s="796" t="s">
        <v>975</v>
      </c>
      <c r="C302" s="420">
        <v>147</v>
      </c>
      <c r="D302" s="420">
        <v>159</v>
      </c>
      <c r="E302" s="420">
        <v>175</v>
      </c>
      <c r="F302" s="420">
        <v>196</v>
      </c>
      <c r="G302" s="420">
        <v>277</v>
      </c>
      <c r="H302" s="420">
        <f t="shared" si="0"/>
        <v>530</v>
      </c>
    </row>
    <row r="303" spans="2:8" ht="15" customHeight="1">
      <c r="B303" s="421" t="s">
        <v>625</v>
      </c>
      <c r="C303" s="422">
        <v>116</v>
      </c>
      <c r="D303" s="422">
        <v>114</v>
      </c>
      <c r="E303" s="422">
        <v>122</v>
      </c>
      <c r="F303" s="422">
        <v>144</v>
      </c>
      <c r="G303" s="422">
        <v>213</v>
      </c>
      <c r="H303" s="422">
        <f t="shared" si="0"/>
        <v>397</v>
      </c>
    </row>
    <row r="304" spans="2:8" ht="15" customHeight="1">
      <c r="B304" s="421" t="s">
        <v>626</v>
      </c>
      <c r="C304" s="422">
        <v>31</v>
      </c>
      <c r="D304" s="422">
        <v>45</v>
      </c>
      <c r="E304" s="422">
        <v>53</v>
      </c>
      <c r="F304" s="422">
        <v>52</v>
      </c>
      <c r="G304" s="422">
        <v>64</v>
      </c>
      <c r="H304" s="422">
        <f t="shared" si="0"/>
        <v>133</v>
      </c>
    </row>
    <row r="305" spans="2:10" ht="15" customHeight="1">
      <c r="B305" s="796" t="s">
        <v>1138</v>
      </c>
      <c r="C305" s="420">
        <v>4558</v>
      </c>
      <c r="D305" s="420">
        <v>4798</v>
      </c>
      <c r="E305" s="420">
        <v>4964</v>
      </c>
      <c r="F305" s="420">
        <v>5829</v>
      </c>
      <c r="G305" s="420">
        <v>5753</v>
      </c>
      <c r="H305" s="420">
        <f t="shared" si="0"/>
        <v>6730</v>
      </c>
    </row>
    <row r="306" spans="2:10" ht="15" customHeight="1">
      <c r="B306" s="421" t="s">
        <v>625</v>
      </c>
      <c r="C306" s="422">
        <v>3006</v>
      </c>
      <c r="D306" s="422">
        <v>3138</v>
      </c>
      <c r="E306" s="422">
        <v>3232</v>
      </c>
      <c r="F306" s="422">
        <v>3791</v>
      </c>
      <c r="G306" s="422">
        <v>3770</v>
      </c>
      <c r="H306" s="422">
        <f t="shared" si="0"/>
        <v>4001</v>
      </c>
    </row>
    <row r="307" spans="2:10" ht="15" customHeight="1">
      <c r="B307" s="421" t="s">
        <v>626</v>
      </c>
      <c r="C307" s="422">
        <v>1552</v>
      </c>
      <c r="D307" s="422">
        <v>1660</v>
      </c>
      <c r="E307" s="422">
        <v>1732</v>
      </c>
      <c r="F307" s="422">
        <v>2038</v>
      </c>
      <c r="G307" s="422">
        <v>1983</v>
      </c>
      <c r="H307" s="422">
        <f t="shared" si="0"/>
        <v>2729</v>
      </c>
    </row>
    <row r="308" spans="2:10" ht="15" customHeight="1">
      <c r="B308" s="796" t="s">
        <v>1139</v>
      </c>
      <c r="C308" s="420">
        <v>793</v>
      </c>
      <c r="D308" s="420">
        <v>780</v>
      </c>
      <c r="E308" s="420">
        <v>798</v>
      </c>
      <c r="F308" s="420">
        <v>819</v>
      </c>
      <c r="G308" s="420">
        <v>2127</v>
      </c>
      <c r="H308" s="420">
        <f t="shared" si="0"/>
        <v>1764</v>
      </c>
    </row>
    <row r="309" spans="2:10" ht="15" customHeight="1">
      <c r="B309" s="421" t="s">
        <v>625</v>
      </c>
      <c r="C309" s="422">
        <v>477</v>
      </c>
      <c r="D309" s="422">
        <v>446</v>
      </c>
      <c r="E309" s="422">
        <v>462</v>
      </c>
      <c r="F309" s="422">
        <v>474</v>
      </c>
      <c r="G309" s="422">
        <v>1265</v>
      </c>
      <c r="H309" s="422">
        <f t="shared" si="0"/>
        <v>972</v>
      </c>
    </row>
    <row r="310" spans="2:10" ht="15" customHeight="1">
      <c r="B310" s="421" t="s">
        <v>626</v>
      </c>
      <c r="C310" s="422">
        <v>316</v>
      </c>
      <c r="D310" s="422">
        <v>334</v>
      </c>
      <c r="E310" s="422">
        <v>336</v>
      </c>
      <c r="F310" s="422">
        <v>345</v>
      </c>
      <c r="G310" s="422">
        <v>862</v>
      </c>
      <c r="H310" s="422">
        <f t="shared" si="0"/>
        <v>792</v>
      </c>
    </row>
    <row r="311" spans="2:10" ht="29" customHeight="1">
      <c r="B311" s="796" t="s">
        <v>1140</v>
      </c>
      <c r="C311" s="420">
        <v>4308</v>
      </c>
      <c r="D311" s="420">
        <v>4372</v>
      </c>
      <c r="E311" s="420">
        <v>4382</v>
      </c>
      <c r="F311" s="420">
        <v>4827</v>
      </c>
      <c r="G311" s="420">
        <v>4928</v>
      </c>
      <c r="H311" s="420">
        <f t="shared" si="0"/>
        <v>5665</v>
      </c>
    </row>
    <row r="312" spans="2:10" ht="15" customHeight="1">
      <c r="B312" s="421" t="s">
        <v>625</v>
      </c>
      <c r="C312" s="422">
        <v>2183</v>
      </c>
      <c r="D312" s="422">
        <v>2221</v>
      </c>
      <c r="E312" s="422">
        <v>2241</v>
      </c>
      <c r="F312" s="422">
        <v>2489</v>
      </c>
      <c r="G312" s="422">
        <v>2585</v>
      </c>
      <c r="H312" s="422">
        <f t="shared" si="0"/>
        <v>3527</v>
      </c>
      <c r="J312" s="17" t="s">
        <v>704</v>
      </c>
    </row>
    <row r="313" spans="2:10" ht="15" customHeight="1">
      <c r="B313" s="421" t="s">
        <v>626</v>
      </c>
      <c r="C313" s="422">
        <v>2125</v>
      </c>
      <c r="D313" s="422">
        <v>2151</v>
      </c>
      <c r="E313" s="422">
        <v>2141</v>
      </c>
      <c r="F313" s="422">
        <v>2338</v>
      </c>
      <c r="G313" s="422">
        <v>2343</v>
      </c>
      <c r="H313" s="422">
        <f t="shared" si="0"/>
        <v>2138</v>
      </c>
    </row>
    <row r="314" spans="2:10" ht="15" customHeight="1">
      <c r="B314" s="796" t="s">
        <v>1141</v>
      </c>
      <c r="C314" s="420">
        <v>270</v>
      </c>
      <c r="D314" s="420">
        <v>245</v>
      </c>
      <c r="E314" s="420">
        <v>234</v>
      </c>
      <c r="F314" s="420">
        <v>210</v>
      </c>
      <c r="G314" s="420">
        <v>168</v>
      </c>
      <c r="H314" s="420">
        <f t="shared" si="0"/>
        <v>285</v>
      </c>
    </row>
    <row r="315" spans="2:10" ht="15" customHeight="1">
      <c r="B315" s="421" t="s">
        <v>625</v>
      </c>
      <c r="C315" s="422">
        <v>148</v>
      </c>
      <c r="D315" s="422">
        <v>146</v>
      </c>
      <c r="E315" s="422">
        <v>139</v>
      </c>
      <c r="F315" s="422">
        <v>125</v>
      </c>
      <c r="G315" s="422">
        <v>79</v>
      </c>
      <c r="H315" s="422">
        <f t="shared" si="0"/>
        <v>131</v>
      </c>
    </row>
    <row r="316" spans="2:10" ht="15" customHeight="1">
      <c r="B316" s="421" t="s">
        <v>626</v>
      </c>
      <c r="C316" s="422">
        <v>122</v>
      </c>
      <c r="D316" s="422">
        <v>99</v>
      </c>
      <c r="E316" s="422">
        <v>95</v>
      </c>
      <c r="F316" s="422">
        <v>85</v>
      </c>
      <c r="G316" s="422">
        <v>89</v>
      </c>
      <c r="H316" s="422">
        <f t="shared" si="0"/>
        <v>146</v>
      </c>
    </row>
    <row r="317" spans="2:10" ht="15" customHeight="1">
      <c r="B317" s="156" t="s">
        <v>1144</v>
      </c>
    </row>
    <row r="318" spans="2:10" ht="15" customHeight="1">
      <c r="B318" s="156"/>
    </row>
    <row r="319" spans="2:10" ht="15" customHeight="1">
      <c r="B319" s="4" t="s">
        <v>1691</v>
      </c>
      <c r="C319" s="413"/>
      <c r="D319" s="413"/>
      <c r="E319" s="413"/>
      <c r="F319" s="413"/>
      <c r="G319" s="413"/>
      <c r="H319" s="413"/>
    </row>
    <row r="320" spans="2:10" ht="15" customHeight="1">
      <c r="B320" s="793" t="s">
        <v>640</v>
      </c>
      <c r="C320" s="415">
        <v>2017</v>
      </c>
      <c r="D320" s="415">
        <v>2018</v>
      </c>
      <c r="E320" s="415">
        <v>2019</v>
      </c>
      <c r="F320" s="416" t="s">
        <v>335</v>
      </c>
      <c r="G320" s="776" t="s">
        <v>256</v>
      </c>
      <c r="H320" s="416" t="s">
        <v>257</v>
      </c>
    </row>
    <row r="321" spans="2:14" ht="15" customHeight="1">
      <c r="B321" s="794" t="s">
        <v>1137</v>
      </c>
      <c r="C321" s="418">
        <v>6039</v>
      </c>
      <c r="D321" s="418">
        <v>6280</v>
      </c>
      <c r="E321" s="418">
        <v>6931</v>
      </c>
      <c r="F321" s="418">
        <v>8034</v>
      </c>
      <c r="G321" s="777">
        <v>7351</v>
      </c>
      <c r="H321" s="418">
        <f>H322+H325+H328+H331+H334+H337</f>
        <v>9280</v>
      </c>
    </row>
    <row r="322" spans="2:14" ht="15" customHeight="1">
      <c r="B322" s="419" t="s">
        <v>976</v>
      </c>
      <c r="C322" s="420">
        <v>0</v>
      </c>
      <c r="D322" s="420">
        <v>0</v>
      </c>
      <c r="E322" s="420">
        <v>2</v>
      </c>
      <c r="F322" s="420">
        <v>0</v>
      </c>
      <c r="G322" s="778">
        <v>0</v>
      </c>
      <c r="H322" s="420">
        <v>0</v>
      </c>
    </row>
    <row r="323" spans="2:14" ht="15" customHeight="1">
      <c r="B323" s="795" t="s">
        <v>625</v>
      </c>
      <c r="C323" s="422">
        <v>0</v>
      </c>
      <c r="D323" s="422">
        <v>0</v>
      </c>
      <c r="E323" s="422">
        <v>0</v>
      </c>
      <c r="F323" s="422">
        <v>0</v>
      </c>
      <c r="G323" s="779">
        <v>0</v>
      </c>
      <c r="H323" s="422">
        <v>0</v>
      </c>
    </row>
    <row r="324" spans="2:14" ht="15" customHeight="1">
      <c r="B324" s="795" t="s">
        <v>626</v>
      </c>
      <c r="C324" s="422">
        <v>0</v>
      </c>
      <c r="D324" s="422">
        <v>0</v>
      </c>
      <c r="E324" s="422">
        <v>2</v>
      </c>
      <c r="F324" s="422">
        <v>0</v>
      </c>
      <c r="G324" s="779">
        <v>0</v>
      </c>
      <c r="H324" s="422">
        <v>0</v>
      </c>
    </row>
    <row r="325" spans="2:14" ht="15" customHeight="1">
      <c r="B325" s="419" t="s">
        <v>975</v>
      </c>
      <c r="C325" s="420">
        <v>2</v>
      </c>
      <c r="D325" s="420">
        <v>2</v>
      </c>
      <c r="E325" s="420">
        <v>2</v>
      </c>
      <c r="F325" s="420">
        <v>5</v>
      </c>
      <c r="G325" s="778">
        <v>3</v>
      </c>
      <c r="H325" s="420">
        <v>0</v>
      </c>
    </row>
    <row r="326" spans="2:14" ht="15" customHeight="1">
      <c r="B326" s="795" t="s">
        <v>625</v>
      </c>
      <c r="C326" s="422">
        <v>1</v>
      </c>
      <c r="D326" s="422">
        <v>1</v>
      </c>
      <c r="E326" s="422">
        <v>2</v>
      </c>
      <c r="F326" s="422">
        <v>2</v>
      </c>
      <c r="G326" s="779">
        <v>1</v>
      </c>
      <c r="H326" s="422">
        <v>0</v>
      </c>
    </row>
    <row r="327" spans="2:14" ht="15" customHeight="1">
      <c r="B327" s="795" t="s">
        <v>626</v>
      </c>
      <c r="C327" s="422">
        <v>1</v>
      </c>
      <c r="D327" s="422">
        <v>1</v>
      </c>
      <c r="E327" s="422">
        <v>0</v>
      </c>
      <c r="F327" s="422">
        <v>3</v>
      </c>
      <c r="G327" s="779">
        <v>2</v>
      </c>
      <c r="H327" s="422">
        <v>0</v>
      </c>
    </row>
    <row r="328" spans="2:14" ht="15" customHeight="1">
      <c r="B328" s="419" t="s">
        <v>1138</v>
      </c>
      <c r="C328" s="420">
        <v>123</v>
      </c>
      <c r="D328" s="420">
        <v>137</v>
      </c>
      <c r="E328" s="420">
        <v>179</v>
      </c>
      <c r="F328" s="420">
        <v>288</v>
      </c>
      <c r="G328" s="778">
        <v>331</v>
      </c>
      <c r="H328" s="420">
        <v>323</v>
      </c>
    </row>
    <row r="329" spans="2:14" ht="15" customHeight="1">
      <c r="B329" s="795" t="s">
        <v>625</v>
      </c>
      <c r="C329" s="422">
        <v>23</v>
      </c>
      <c r="D329" s="422">
        <v>21</v>
      </c>
      <c r="E329" s="422">
        <v>27</v>
      </c>
      <c r="F329" s="422">
        <v>61</v>
      </c>
      <c r="G329" s="779">
        <v>58</v>
      </c>
      <c r="H329" s="422">
        <v>51</v>
      </c>
    </row>
    <row r="330" spans="2:14" ht="15" customHeight="1">
      <c r="B330" s="795" t="s">
        <v>626</v>
      </c>
      <c r="C330" s="422">
        <v>100</v>
      </c>
      <c r="D330" s="422">
        <v>116</v>
      </c>
      <c r="E330" s="422">
        <v>152</v>
      </c>
      <c r="F330" s="422">
        <v>227</v>
      </c>
      <c r="G330" s="779">
        <v>273</v>
      </c>
      <c r="H330" s="422">
        <v>272</v>
      </c>
    </row>
    <row r="331" spans="2:14" ht="15" customHeight="1">
      <c r="B331" s="419" t="s">
        <v>1139</v>
      </c>
      <c r="C331" s="420">
        <v>102</v>
      </c>
      <c r="D331" s="420">
        <v>118</v>
      </c>
      <c r="E331" s="420">
        <v>133</v>
      </c>
      <c r="F331" s="420">
        <v>205</v>
      </c>
      <c r="G331" s="778">
        <v>170</v>
      </c>
      <c r="H331" s="420">
        <v>137</v>
      </c>
    </row>
    <row r="332" spans="2:14" ht="15" customHeight="1">
      <c r="B332" s="795" t="s">
        <v>625</v>
      </c>
      <c r="C332" s="422">
        <v>10</v>
      </c>
      <c r="D332" s="422">
        <v>23</v>
      </c>
      <c r="E332" s="422">
        <v>30</v>
      </c>
      <c r="F332" s="422">
        <v>56</v>
      </c>
      <c r="G332" s="779">
        <v>24</v>
      </c>
      <c r="H332" s="422">
        <v>20</v>
      </c>
    </row>
    <row r="333" spans="2:14" ht="15" customHeight="1">
      <c r="B333" s="795" t="s">
        <v>626</v>
      </c>
      <c r="C333" s="422">
        <v>92</v>
      </c>
      <c r="D333" s="422">
        <v>95</v>
      </c>
      <c r="E333" s="422">
        <v>103</v>
      </c>
      <c r="F333" s="422">
        <v>149</v>
      </c>
      <c r="G333" s="779">
        <v>146</v>
      </c>
      <c r="H333" s="422">
        <v>117</v>
      </c>
    </row>
    <row r="334" spans="2:14" ht="18" customHeight="1">
      <c r="B334" s="419" t="s">
        <v>1140</v>
      </c>
      <c r="C334" s="420">
        <v>4889</v>
      </c>
      <c r="D334" s="420">
        <v>5157</v>
      </c>
      <c r="E334" s="420">
        <v>5867</v>
      </c>
      <c r="F334" s="420">
        <v>6946</v>
      </c>
      <c r="G334" s="778">
        <v>6755</v>
      </c>
      <c r="H334" s="420">
        <v>8755</v>
      </c>
    </row>
    <row r="335" spans="2:14" ht="15" customHeight="1">
      <c r="B335" s="795" t="s">
        <v>625</v>
      </c>
      <c r="C335" s="422">
        <v>744</v>
      </c>
      <c r="D335" s="422">
        <v>768</v>
      </c>
      <c r="E335" s="422">
        <v>884</v>
      </c>
      <c r="F335" s="422">
        <v>928</v>
      </c>
      <c r="G335" s="779">
        <v>1459</v>
      </c>
      <c r="H335" s="422">
        <v>1601</v>
      </c>
      <c r="N335" s="17" t="s">
        <v>704</v>
      </c>
    </row>
    <row r="336" spans="2:14" ht="15" customHeight="1">
      <c r="B336" s="795" t="s">
        <v>626</v>
      </c>
      <c r="C336" s="422">
        <v>4145</v>
      </c>
      <c r="D336" s="422">
        <v>4389</v>
      </c>
      <c r="E336" s="422">
        <v>4983</v>
      </c>
      <c r="F336" s="422">
        <v>6018</v>
      </c>
      <c r="G336" s="779">
        <v>5296</v>
      </c>
      <c r="H336" s="422">
        <v>7154</v>
      </c>
    </row>
    <row r="337" spans="2:8" ht="15" customHeight="1">
      <c r="B337" s="419" t="s">
        <v>1141</v>
      </c>
      <c r="C337" s="420">
        <v>923</v>
      </c>
      <c r="D337" s="420">
        <v>866</v>
      </c>
      <c r="E337" s="420">
        <v>748</v>
      </c>
      <c r="F337" s="420">
        <v>590</v>
      </c>
      <c r="G337" s="778">
        <v>92</v>
      </c>
      <c r="H337" s="420">
        <v>65</v>
      </c>
    </row>
    <row r="338" spans="2:8" ht="15" customHeight="1">
      <c r="B338" s="795" t="s">
        <v>625</v>
      </c>
      <c r="C338" s="422">
        <v>178</v>
      </c>
      <c r="D338" s="422">
        <v>181</v>
      </c>
      <c r="E338" s="422">
        <v>116</v>
      </c>
      <c r="F338" s="422">
        <v>107</v>
      </c>
      <c r="G338" s="779">
        <v>13</v>
      </c>
      <c r="H338" s="422">
        <v>12</v>
      </c>
    </row>
    <row r="339" spans="2:8" ht="15" customHeight="1">
      <c r="B339" s="795" t="s">
        <v>626</v>
      </c>
      <c r="C339" s="422">
        <v>745</v>
      </c>
      <c r="D339" s="422">
        <v>685</v>
      </c>
      <c r="E339" s="422">
        <v>632</v>
      </c>
      <c r="F339" s="422">
        <v>483</v>
      </c>
      <c r="G339" s="779">
        <v>79</v>
      </c>
      <c r="H339" s="422">
        <v>53</v>
      </c>
    </row>
    <row r="340" spans="2:8" ht="15" customHeight="1">
      <c r="B340" s="8" t="s">
        <v>1142</v>
      </c>
      <c r="C340" s="413"/>
      <c r="D340" s="413"/>
      <c r="E340" s="413"/>
      <c r="F340" s="413"/>
      <c r="G340" s="413"/>
      <c r="H340" s="413"/>
    </row>
    <row r="341" spans="2:8" ht="15" customHeight="1">
      <c r="B341" s="412"/>
      <c r="C341" s="413"/>
      <c r="D341" s="413"/>
      <c r="E341" s="413"/>
      <c r="F341" s="413"/>
      <c r="G341" s="413"/>
      <c r="H341" s="413"/>
    </row>
    <row r="342" spans="2:8" ht="15" customHeight="1">
      <c r="B342" s="88" t="s">
        <v>1692</v>
      </c>
    </row>
    <row r="343" spans="2:8" ht="15" customHeight="1">
      <c r="B343" s="423" t="s">
        <v>640</v>
      </c>
      <c r="C343" s="424">
        <v>2017</v>
      </c>
      <c r="D343" s="424">
        <v>2018</v>
      </c>
      <c r="E343" s="424">
        <v>2019</v>
      </c>
      <c r="F343" s="424" t="s">
        <v>335</v>
      </c>
      <c r="G343" s="780" t="s">
        <v>256</v>
      </c>
      <c r="H343" s="416" t="s">
        <v>257</v>
      </c>
    </row>
    <row r="344" spans="2:8" ht="15" customHeight="1">
      <c r="B344" s="425" t="s">
        <v>1137</v>
      </c>
      <c r="C344" s="426">
        <v>41573</v>
      </c>
      <c r="D344" s="426">
        <v>42073</v>
      </c>
      <c r="E344" s="426">
        <v>43878</v>
      </c>
      <c r="F344" s="426">
        <v>60666</v>
      </c>
      <c r="G344" s="781">
        <v>63046</v>
      </c>
      <c r="H344" s="418">
        <f>H345+H348+H351+H354+H357+H360</f>
        <v>67539</v>
      </c>
    </row>
    <row r="345" spans="2:8" ht="15" customHeight="1">
      <c r="B345" s="427" t="s">
        <v>976</v>
      </c>
      <c r="C345" s="428">
        <v>1</v>
      </c>
      <c r="D345" s="428">
        <v>1</v>
      </c>
      <c r="E345" s="428">
        <v>0</v>
      </c>
      <c r="F345" s="428">
        <v>0</v>
      </c>
      <c r="G345" s="782">
        <v>2</v>
      </c>
      <c r="H345" s="420">
        <v>0</v>
      </c>
    </row>
    <row r="346" spans="2:8" ht="15" customHeight="1">
      <c r="B346" s="429" t="s">
        <v>625</v>
      </c>
      <c r="C346" s="430">
        <v>0</v>
      </c>
      <c r="D346" s="430">
        <v>0</v>
      </c>
      <c r="E346" s="430">
        <v>0</v>
      </c>
      <c r="F346" s="430">
        <v>0</v>
      </c>
      <c r="G346" s="783">
        <v>1</v>
      </c>
      <c r="H346" s="422">
        <v>0</v>
      </c>
    </row>
    <row r="347" spans="2:8" ht="15" customHeight="1">
      <c r="B347" s="429" t="s">
        <v>626</v>
      </c>
      <c r="C347" s="430">
        <v>1</v>
      </c>
      <c r="D347" s="430">
        <v>1</v>
      </c>
      <c r="E347" s="430">
        <v>0</v>
      </c>
      <c r="F347" s="430">
        <v>0</v>
      </c>
      <c r="G347" s="783">
        <v>1</v>
      </c>
      <c r="H347" s="422">
        <v>0</v>
      </c>
    </row>
    <row r="348" spans="2:8" ht="15" customHeight="1">
      <c r="B348" s="427" t="s">
        <v>975</v>
      </c>
      <c r="C348" s="428">
        <v>2</v>
      </c>
      <c r="D348" s="428">
        <v>1</v>
      </c>
      <c r="E348" s="428">
        <v>4</v>
      </c>
      <c r="F348" s="428">
        <v>10</v>
      </c>
      <c r="G348" s="782">
        <v>14</v>
      </c>
      <c r="H348" s="420">
        <v>0</v>
      </c>
    </row>
    <row r="349" spans="2:8" ht="15" customHeight="1">
      <c r="B349" s="429" t="s">
        <v>625</v>
      </c>
      <c r="C349" s="430">
        <v>1</v>
      </c>
      <c r="D349" s="430">
        <v>0</v>
      </c>
      <c r="E349" s="430">
        <v>2</v>
      </c>
      <c r="F349" s="430">
        <v>6</v>
      </c>
      <c r="G349" s="783">
        <v>4</v>
      </c>
      <c r="H349" s="422">
        <v>0</v>
      </c>
    </row>
    <row r="350" spans="2:8" ht="15" customHeight="1">
      <c r="B350" s="429" t="s">
        <v>626</v>
      </c>
      <c r="C350" s="430">
        <v>1</v>
      </c>
      <c r="D350" s="430">
        <v>1</v>
      </c>
      <c r="E350" s="430">
        <v>2</v>
      </c>
      <c r="F350" s="430">
        <v>4</v>
      </c>
      <c r="G350" s="783">
        <v>10</v>
      </c>
      <c r="H350" s="422">
        <v>0</v>
      </c>
    </row>
    <row r="351" spans="2:8" ht="15" customHeight="1">
      <c r="B351" s="427" t="s">
        <v>1138</v>
      </c>
      <c r="C351" s="428">
        <v>287</v>
      </c>
      <c r="D351" s="428">
        <v>350</v>
      </c>
      <c r="E351" s="428">
        <v>386</v>
      </c>
      <c r="F351" s="428">
        <v>472</v>
      </c>
      <c r="G351" s="782">
        <v>2380</v>
      </c>
      <c r="H351" s="420">
        <v>1000</v>
      </c>
    </row>
    <row r="352" spans="2:8" ht="15" customHeight="1">
      <c r="B352" s="429" t="s">
        <v>625</v>
      </c>
      <c r="C352" s="430">
        <v>173</v>
      </c>
      <c r="D352" s="430">
        <v>208</v>
      </c>
      <c r="E352" s="430">
        <v>239</v>
      </c>
      <c r="F352" s="430">
        <v>306</v>
      </c>
      <c r="G352" s="783">
        <v>1269</v>
      </c>
      <c r="H352" s="422">
        <v>565</v>
      </c>
    </row>
    <row r="353" spans="2:8" ht="15" customHeight="1">
      <c r="B353" s="429" t="s">
        <v>626</v>
      </c>
      <c r="C353" s="430">
        <v>114</v>
      </c>
      <c r="D353" s="430">
        <v>142</v>
      </c>
      <c r="E353" s="430">
        <v>147</v>
      </c>
      <c r="F353" s="430">
        <v>166</v>
      </c>
      <c r="G353" s="783">
        <v>1111</v>
      </c>
      <c r="H353" s="422">
        <v>435</v>
      </c>
    </row>
    <row r="354" spans="2:8" ht="15" customHeight="1">
      <c r="B354" s="427" t="s">
        <v>1139</v>
      </c>
      <c r="C354" s="428">
        <v>263</v>
      </c>
      <c r="D354" s="428">
        <v>201</v>
      </c>
      <c r="E354" s="428">
        <v>266</v>
      </c>
      <c r="F354" s="428">
        <v>273</v>
      </c>
      <c r="G354" s="782">
        <v>999</v>
      </c>
      <c r="H354" s="420">
        <v>458</v>
      </c>
    </row>
    <row r="355" spans="2:8" ht="15" customHeight="1">
      <c r="B355" s="429" t="s">
        <v>625</v>
      </c>
      <c r="C355" s="430">
        <v>163</v>
      </c>
      <c r="D355" s="430">
        <v>140</v>
      </c>
      <c r="E355" s="430">
        <v>182</v>
      </c>
      <c r="F355" s="430">
        <v>171</v>
      </c>
      <c r="G355" s="783">
        <v>580</v>
      </c>
      <c r="H355" s="422">
        <v>280</v>
      </c>
    </row>
    <row r="356" spans="2:8" ht="15" customHeight="1">
      <c r="B356" s="429" t="s">
        <v>626</v>
      </c>
      <c r="C356" s="430">
        <v>100</v>
      </c>
      <c r="D356" s="430">
        <v>61</v>
      </c>
      <c r="E356" s="430">
        <v>84</v>
      </c>
      <c r="F356" s="430">
        <v>102</v>
      </c>
      <c r="G356" s="783">
        <v>419</v>
      </c>
      <c r="H356" s="422">
        <v>178</v>
      </c>
    </row>
    <row r="357" spans="2:8" ht="15" customHeight="1">
      <c r="B357" s="427" t="s">
        <v>1140</v>
      </c>
      <c r="C357" s="428">
        <v>40352</v>
      </c>
      <c r="D357" s="428">
        <v>41015</v>
      </c>
      <c r="E357" s="428">
        <v>42692</v>
      </c>
      <c r="F357" s="428">
        <v>59300</v>
      </c>
      <c r="G357" s="782">
        <v>59542</v>
      </c>
      <c r="H357" s="420">
        <v>66048</v>
      </c>
    </row>
    <row r="358" spans="2:8" ht="15" customHeight="1">
      <c r="B358" s="429" t="s">
        <v>625</v>
      </c>
      <c r="C358" s="430">
        <v>18151</v>
      </c>
      <c r="D358" s="430">
        <v>18322</v>
      </c>
      <c r="E358" s="430">
        <v>18785</v>
      </c>
      <c r="F358" s="430">
        <v>24844</v>
      </c>
      <c r="G358" s="783">
        <v>24925</v>
      </c>
      <c r="H358" s="422">
        <v>28236</v>
      </c>
    </row>
    <row r="359" spans="2:8" ht="15" customHeight="1">
      <c r="B359" s="429" t="s">
        <v>626</v>
      </c>
      <c r="C359" s="430">
        <v>22201</v>
      </c>
      <c r="D359" s="430">
        <v>22693</v>
      </c>
      <c r="E359" s="430">
        <v>23907</v>
      </c>
      <c r="F359" s="430">
        <v>34456</v>
      </c>
      <c r="G359" s="783">
        <v>34617</v>
      </c>
      <c r="H359" s="422">
        <v>37812</v>
      </c>
    </row>
    <row r="360" spans="2:8" ht="15" customHeight="1">
      <c r="B360" s="427" t="s">
        <v>1141</v>
      </c>
      <c r="C360" s="428">
        <v>668</v>
      </c>
      <c r="D360" s="428">
        <v>505</v>
      </c>
      <c r="E360" s="428">
        <v>530</v>
      </c>
      <c r="F360" s="428">
        <v>611</v>
      </c>
      <c r="G360" s="782">
        <v>109</v>
      </c>
      <c r="H360" s="420">
        <v>33</v>
      </c>
    </row>
    <row r="361" spans="2:8" ht="15" customHeight="1">
      <c r="B361" s="429" t="s">
        <v>625</v>
      </c>
      <c r="C361" s="430">
        <v>410</v>
      </c>
      <c r="D361" s="430">
        <v>320</v>
      </c>
      <c r="E361" s="430">
        <v>326</v>
      </c>
      <c r="F361" s="430">
        <v>340</v>
      </c>
      <c r="G361" s="783">
        <v>54</v>
      </c>
      <c r="H361" s="422">
        <v>19</v>
      </c>
    </row>
    <row r="362" spans="2:8" ht="15" customHeight="1">
      <c r="B362" s="429" t="s">
        <v>626</v>
      </c>
      <c r="C362" s="430">
        <v>258</v>
      </c>
      <c r="D362" s="430">
        <v>185</v>
      </c>
      <c r="E362" s="430">
        <v>204</v>
      </c>
      <c r="F362" s="430">
        <v>271</v>
      </c>
      <c r="G362" s="783">
        <v>55</v>
      </c>
      <c r="H362" s="422">
        <v>14</v>
      </c>
    </row>
    <row r="363" spans="2:8" ht="15" customHeight="1">
      <c r="B363" s="156" t="s">
        <v>1143</v>
      </c>
    </row>
    <row r="365" spans="2:8" ht="15" customHeight="1">
      <c r="B365" s="88" t="s">
        <v>1693</v>
      </c>
    </row>
    <row r="366" spans="2:8" ht="15" customHeight="1">
      <c r="B366" s="414" t="s">
        <v>640</v>
      </c>
      <c r="C366" s="415">
        <v>2017</v>
      </c>
      <c r="D366" s="415">
        <v>2018</v>
      </c>
      <c r="E366" s="415">
        <v>2019</v>
      </c>
      <c r="F366" s="416" t="s">
        <v>335</v>
      </c>
      <c r="G366" s="416" t="s">
        <v>256</v>
      </c>
      <c r="H366" s="416" t="s">
        <v>257</v>
      </c>
    </row>
    <row r="367" spans="2:8" ht="15" customHeight="1">
      <c r="B367" s="417" t="s">
        <v>1137</v>
      </c>
      <c r="C367" s="418">
        <v>19268</v>
      </c>
      <c r="D367" s="418">
        <v>19563</v>
      </c>
      <c r="E367" s="418">
        <v>19793</v>
      </c>
      <c r="F367" s="418">
        <v>24403</v>
      </c>
      <c r="G367" s="777">
        <f>G368+G371+G374+G377+G380+G383</f>
        <v>25468</v>
      </c>
      <c r="H367" s="418">
        <f>H368+H371+H374+H377+H380+H383</f>
        <v>28140</v>
      </c>
    </row>
    <row r="368" spans="2:8" ht="15" customHeight="1">
      <c r="B368" s="419" t="s">
        <v>976</v>
      </c>
      <c r="C368" s="420">
        <v>3</v>
      </c>
      <c r="D368" s="420">
        <v>2</v>
      </c>
      <c r="E368" s="420">
        <v>2</v>
      </c>
      <c r="F368" s="420">
        <v>2</v>
      </c>
      <c r="G368" s="778">
        <v>5</v>
      </c>
      <c r="H368" s="420">
        <v>0</v>
      </c>
    </row>
    <row r="369" spans="2:8" ht="15" customHeight="1">
      <c r="B369" s="421" t="s">
        <v>625</v>
      </c>
      <c r="C369" s="422">
        <v>3</v>
      </c>
      <c r="D369" s="422">
        <v>2</v>
      </c>
      <c r="E369" s="422">
        <v>2</v>
      </c>
      <c r="F369" s="422">
        <v>1</v>
      </c>
      <c r="G369" s="779">
        <v>2</v>
      </c>
      <c r="H369" s="422">
        <v>0</v>
      </c>
    </row>
    <row r="370" spans="2:8" ht="15" customHeight="1">
      <c r="B370" s="421" t="s">
        <v>626</v>
      </c>
      <c r="C370" s="422">
        <v>0</v>
      </c>
      <c r="D370" s="422">
        <v>0</v>
      </c>
      <c r="E370" s="422">
        <v>0</v>
      </c>
      <c r="F370" s="422">
        <v>1</v>
      </c>
      <c r="G370" s="779">
        <v>3</v>
      </c>
      <c r="H370" s="422">
        <v>0</v>
      </c>
    </row>
    <row r="371" spans="2:8" ht="15" customHeight="1">
      <c r="B371" s="419" t="s">
        <v>975</v>
      </c>
      <c r="C371" s="420">
        <v>53</v>
      </c>
      <c r="D371" s="420">
        <v>59</v>
      </c>
      <c r="E371" s="420">
        <v>62</v>
      </c>
      <c r="F371" s="420">
        <v>25</v>
      </c>
      <c r="G371" s="778">
        <v>131</v>
      </c>
      <c r="H371" s="420">
        <v>1</v>
      </c>
    </row>
    <row r="372" spans="2:8" ht="15" customHeight="1">
      <c r="B372" s="421" t="s">
        <v>625</v>
      </c>
      <c r="C372" s="422">
        <v>40</v>
      </c>
      <c r="D372" s="422">
        <v>48</v>
      </c>
      <c r="E372" s="422">
        <v>42</v>
      </c>
      <c r="F372" s="422">
        <v>19</v>
      </c>
      <c r="G372" s="779">
        <v>103</v>
      </c>
      <c r="H372" s="422">
        <v>1</v>
      </c>
    </row>
    <row r="373" spans="2:8" ht="15" customHeight="1">
      <c r="B373" s="421" t="s">
        <v>626</v>
      </c>
      <c r="C373" s="422">
        <v>13</v>
      </c>
      <c r="D373" s="422">
        <v>11</v>
      </c>
      <c r="E373" s="422">
        <v>20</v>
      </c>
      <c r="F373" s="422">
        <v>6</v>
      </c>
      <c r="G373" s="779">
        <v>28</v>
      </c>
      <c r="H373" s="422">
        <v>0</v>
      </c>
    </row>
    <row r="374" spans="2:8" ht="15" customHeight="1">
      <c r="B374" s="419" t="s">
        <v>1138</v>
      </c>
      <c r="C374" s="420">
        <v>9848</v>
      </c>
      <c r="D374" s="420">
        <v>9888</v>
      </c>
      <c r="E374" s="420">
        <v>10267</v>
      </c>
      <c r="F374" s="420">
        <v>13845</v>
      </c>
      <c r="G374" s="778">
        <v>13611</v>
      </c>
      <c r="H374" s="420">
        <v>17371</v>
      </c>
    </row>
    <row r="375" spans="2:8" ht="15" customHeight="1">
      <c r="B375" s="421" t="s">
        <v>625</v>
      </c>
      <c r="C375" s="422">
        <v>7127</v>
      </c>
      <c r="D375" s="422">
        <v>7081</v>
      </c>
      <c r="E375" s="422">
        <v>7341</v>
      </c>
      <c r="F375" s="422">
        <v>9486</v>
      </c>
      <c r="G375" s="779">
        <v>9171</v>
      </c>
      <c r="H375" s="422">
        <v>11524</v>
      </c>
    </row>
    <row r="376" spans="2:8" ht="15" customHeight="1">
      <c r="B376" s="421" t="s">
        <v>626</v>
      </c>
      <c r="C376" s="422">
        <v>2721</v>
      </c>
      <c r="D376" s="422">
        <v>2807</v>
      </c>
      <c r="E376" s="422">
        <v>2926</v>
      </c>
      <c r="F376" s="422">
        <v>4359</v>
      </c>
      <c r="G376" s="779">
        <v>4440</v>
      </c>
      <c r="H376" s="422">
        <v>5847</v>
      </c>
    </row>
    <row r="377" spans="2:8" ht="15" customHeight="1">
      <c r="B377" s="419" t="s">
        <v>1139</v>
      </c>
      <c r="C377" s="420">
        <v>6213</v>
      </c>
      <c r="D377" s="420">
        <v>6190</v>
      </c>
      <c r="E377" s="420">
        <v>6235</v>
      </c>
      <c r="F377" s="420">
        <v>9179</v>
      </c>
      <c r="G377" s="778">
        <v>10221</v>
      </c>
      <c r="H377" s="420">
        <v>9111</v>
      </c>
    </row>
    <row r="378" spans="2:8" ht="15" customHeight="1">
      <c r="B378" s="421" t="s">
        <v>625</v>
      </c>
      <c r="C378" s="422">
        <v>4474</v>
      </c>
      <c r="D378" s="422">
        <v>4418</v>
      </c>
      <c r="E378" s="422">
        <v>4420</v>
      </c>
      <c r="F378" s="422">
        <v>5985</v>
      </c>
      <c r="G378" s="779">
        <v>6745</v>
      </c>
      <c r="H378" s="422">
        <v>5804</v>
      </c>
    </row>
    <row r="379" spans="2:8" ht="15" customHeight="1">
      <c r="B379" s="421" t="s">
        <v>626</v>
      </c>
      <c r="C379" s="422">
        <v>1739</v>
      </c>
      <c r="D379" s="422">
        <v>1772</v>
      </c>
      <c r="E379" s="422">
        <v>1815</v>
      </c>
      <c r="F379" s="422">
        <v>3194</v>
      </c>
      <c r="G379" s="779">
        <v>3476</v>
      </c>
      <c r="H379" s="422">
        <v>3307</v>
      </c>
    </row>
    <row r="380" spans="2:8" ht="15" customHeight="1">
      <c r="B380" s="419" t="s">
        <v>1140</v>
      </c>
      <c r="C380" s="420">
        <v>3118</v>
      </c>
      <c r="D380" s="420">
        <v>3414</v>
      </c>
      <c r="E380" s="420">
        <v>3225</v>
      </c>
      <c r="F380" s="420">
        <v>1239</v>
      </c>
      <c r="G380" s="778">
        <v>1481</v>
      </c>
      <c r="H380" s="420">
        <v>1644</v>
      </c>
    </row>
    <row r="381" spans="2:8" ht="15" customHeight="1">
      <c r="B381" s="421" t="s">
        <v>625</v>
      </c>
      <c r="C381" s="422">
        <v>2111</v>
      </c>
      <c r="D381" s="422">
        <v>2326</v>
      </c>
      <c r="E381" s="422">
        <v>2200</v>
      </c>
      <c r="F381" s="422">
        <v>863</v>
      </c>
      <c r="G381" s="779">
        <v>903</v>
      </c>
      <c r="H381" s="422">
        <v>1006</v>
      </c>
    </row>
    <row r="382" spans="2:8" ht="15" customHeight="1">
      <c r="B382" s="421" t="s">
        <v>626</v>
      </c>
      <c r="C382" s="422">
        <v>1007</v>
      </c>
      <c r="D382" s="422">
        <v>1088</v>
      </c>
      <c r="E382" s="422">
        <v>1025</v>
      </c>
      <c r="F382" s="422">
        <v>376</v>
      </c>
      <c r="G382" s="779">
        <v>578</v>
      </c>
      <c r="H382" s="422">
        <v>638</v>
      </c>
    </row>
    <row r="383" spans="2:8" ht="15" customHeight="1">
      <c r="B383" s="419" t="s">
        <v>1141</v>
      </c>
      <c r="C383" s="420">
        <v>33</v>
      </c>
      <c r="D383" s="420">
        <v>10</v>
      </c>
      <c r="E383" s="420">
        <v>2</v>
      </c>
      <c r="F383" s="420">
        <v>113</v>
      </c>
      <c r="G383" s="778">
        <v>19</v>
      </c>
      <c r="H383" s="420">
        <v>13</v>
      </c>
    </row>
    <row r="384" spans="2:8" ht="15" customHeight="1">
      <c r="B384" s="421" t="s">
        <v>625</v>
      </c>
      <c r="C384" s="422">
        <v>17</v>
      </c>
      <c r="D384" s="422">
        <v>8</v>
      </c>
      <c r="E384" s="422">
        <v>2</v>
      </c>
      <c r="F384" s="422">
        <v>68</v>
      </c>
      <c r="G384" s="779">
        <v>13</v>
      </c>
      <c r="H384" s="422">
        <v>7</v>
      </c>
    </row>
    <row r="385" spans="2:8" ht="15" customHeight="1">
      <c r="B385" s="421" t="s">
        <v>626</v>
      </c>
      <c r="C385" s="422">
        <v>16</v>
      </c>
      <c r="D385" s="422">
        <v>2</v>
      </c>
      <c r="E385" s="422">
        <v>0</v>
      </c>
      <c r="F385" s="422">
        <v>45</v>
      </c>
      <c r="G385" s="779">
        <v>6</v>
      </c>
      <c r="H385" s="422">
        <v>14</v>
      </c>
    </row>
    <row r="386" spans="2:8" ht="15" customHeight="1">
      <c r="B386" s="156" t="s">
        <v>1144</v>
      </c>
    </row>
    <row r="388" spans="2:8" ht="15" customHeight="1">
      <c r="B388" s="88" t="s">
        <v>1694</v>
      </c>
    </row>
    <row r="389" spans="2:8" ht="15" customHeight="1">
      <c r="B389" s="414" t="s">
        <v>640</v>
      </c>
      <c r="C389" s="415">
        <v>2017</v>
      </c>
      <c r="D389" s="415">
        <v>2018</v>
      </c>
      <c r="E389" s="415">
        <v>2019</v>
      </c>
      <c r="F389" s="416" t="s">
        <v>335</v>
      </c>
      <c r="G389" s="431" t="s">
        <v>256</v>
      </c>
      <c r="H389" s="431" t="s">
        <v>257</v>
      </c>
    </row>
    <row r="390" spans="2:8" ht="15" customHeight="1">
      <c r="B390" s="417" t="s">
        <v>1137</v>
      </c>
      <c r="C390" s="418">
        <v>4161</v>
      </c>
      <c r="D390" s="418">
        <v>3741</v>
      </c>
      <c r="E390" s="418">
        <v>3792</v>
      </c>
      <c r="F390" s="418">
        <v>4175</v>
      </c>
      <c r="G390" s="418">
        <v>4151</v>
      </c>
      <c r="H390" s="418">
        <f>H391+H394+H397+H400+H403+H406</f>
        <v>5501</v>
      </c>
    </row>
    <row r="391" spans="2:8" ht="15" customHeight="1">
      <c r="B391" s="419" t="s">
        <v>976</v>
      </c>
      <c r="C391" s="420">
        <v>0</v>
      </c>
      <c r="D391" s="420">
        <v>2</v>
      </c>
      <c r="E391" s="420">
        <v>0</v>
      </c>
      <c r="F391" s="420">
        <v>0</v>
      </c>
      <c r="G391" s="420">
        <v>0</v>
      </c>
      <c r="H391" s="420">
        <v>0</v>
      </c>
    </row>
    <row r="392" spans="2:8" ht="15" customHeight="1">
      <c r="B392" s="421" t="s">
        <v>625</v>
      </c>
      <c r="C392" s="422">
        <v>0</v>
      </c>
      <c r="D392" s="422">
        <v>2</v>
      </c>
      <c r="E392" s="422">
        <v>0</v>
      </c>
      <c r="F392" s="422">
        <v>0</v>
      </c>
      <c r="G392" s="422">
        <v>0</v>
      </c>
      <c r="H392" s="422">
        <v>0</v>
      </c>
    </row>
    <row r="393" spans="2:8" ht="15" customHeight="1">
      <c r="B393" s="421" t="s">
        <v>626</v>
      </c>
      <c r="C393" s="422">
        <v>0</v>
      </c>
      <c r="D393" s="422">
        <v>0</v>
      </c>
      <c r="E393" s="422">
        <v>0</v>
      </c>
      <c r="F393" s="422">
        <v>0</v>
      </c>
      <c r="G393" s="422">
        <v>0</v>
      </c>
      <c r="H393" s="422">
        <v>0</v>
      </c>
    </row>
    <row r="394" spans="2:8" ht="15" customHeight="1">
      <c r="B394" s="419" t="s">
        <v>975</v>
      </c>
      <c r="C394" s="420">
        <v>20</v>
      </c>
      <c r="D394" s="420">
        <v>15</v>
      </c>
      <c r="E394" s="420">
        <v>13</v>
      </c>
      <c r="F394" s="420">
        <v>22</v>
      </c>
      <c r="G394" s="420">
        <v>26</v>
      </c>
      <c r="H394" s="420">
        <v>0</v>
      </c>
    </row>
    <row r="395" spans="2:8" ht="15" customHeight="1">
      <c r="B395" s="421" t="s">
        <v>625</v>
      </c>
      <c r="C395" s="422">
        <v>18</v>
      </c>
      <c r="D395" s="422">
        <v>11</v>
      </c>
      <c r="E395" s="422">
        <v>13</v>
      </c>
      <c r="F395" s="422">
        <v>18</v>
      </c>
      <c r="G395" s="422">
        <v>23</v>
      </c>
      <c r="H395" s="422">
        <v>0</v>
      </c>
    </row>
    <row r="396" spans="2:8" ht="15" customHeight="1">
      <c r="B396" s="421" t="s">
        <v>626</v>
      </c>
      <c r="C396" s="422">
        <v>2</v>
      </c>
      <c r="D396" s="422">
        <v>4</v>
      </c>
      <c r="E396" s="422">
        <v>0</v>
      </c>
      <c r="F396" s="422">
        <v>4</v>
      </c>
      <c r="G396" s="422">
        <v>3</v>
      </c>
      <c r="H396" s="422">
        <v>0</v>
      </c>
    </row>
    <row r="397" spans="2:8" ht="15" customHeight="1">
      <c r="B397" s="419" t="s">
        <v>1138</v>
      </c>
      <c r="C397" s="420">
        <v>1427</v>
      </c>
      <c r="D397" s="420">
        <v>1568</v>
      </c>
      <c r="E397" s="420">
        <v>1631</v>
      </c>
      <c r="F397" s="420">
        <v>1807</v>
      </c>
      <c r="G397" s="420">
        <v>1697</v>
      </c>
      <c r="H397" s="420">
        <v>2220</v>
      </c>
    </row>
    <row r="398" spans="2:8" ht="15" customHeight="1">
      <c r="B398" s="421" t="s">
        <v>625</v>
      </c>
      <c r="C398" s="422">
        <v>1099</v>
      </c>
      <c r="D398" s="422">
        <v>1217</v>
      </c>
      <c r="E398" s="422">
        <v>1278</v>
      </c>
      <c r="F398" s="422">
        <v>1360</v>
      </c>
      <c r="G398" s="422">
        <v>1192</v>
      </c>
      <c r="H398" s="422">
        <v>1547</v>
      </c>
    </row>
    <row r="399" spans="2:8" ht="15" customHeight="1">
      <c r="B399" s="421" t="s">
        <v>626</v>
      </c>
      <c r="C399" s="422">
        <v>328</v>
      </c>
      <c r="D399" s="422">
        <v>351</v>
      </c>
      <c r="E399" s="422">
        <v>353</v>
      </c>
      <c r="F399" s="422">
        <v>447</v>
      </c>
      <c r="G399" s="422">
        <v>505</v>
      </c>
      <c r="H399" s="422">
        <v>673</v>
      </c>
    </row>
    <row r="400" spans="2:8" ht="15" customHeight="1">
      <c r="B400" s="419" t="s">
        <v>1139</v>
      </c>
      <c r="C400" s="420">
        <v>1003</v>
      </c>
      <c r="D400" s="420">
        <v>1091</v>
      </c>
      <c r="E400" s="420">
        <v>1097</v>
      </c>
      <c r="F400" s="420">
        <v>1452</v>
      </c>
      <c r="G400" s="420">
        <v>1467</v>
      </c>
      <c r="H400" s="420">
        <v>2085</v>
      </c>
    </row>
    <row r="401" spans="2:8" ht="15" customHeight="1">
      <c r="B401" s="421" t="s">
        <v>625</v>
      </c>
      <c r="C401" s="422">
        <v>863</v>
      </c>
      <c r="D401" s="422">
        <v>929</v>
      </c>
      <c r="E401" s="422">
        <v>924</v>
      </c>
      <c r="F401" s="422">
        <v>1215</v>
      </c>
      <c r="G401" s="422">
        <v>1197</v>
      </c>
      <c r="H401" s="422">
        <v>1709</v>
      </c>
    </row>
    <row r="402" spans="2:8" ht="15" customHeight="1">
      <c r="B402" s="421" t="s">
        <v>626</v>
      </c>
      <c r="C402" s="422">
        <v>140</v>
      </c>
      <c r="D402" s="422">
        <v>162</v>
      </c>
      <c r="E402" s="422">
        <v>173</v>
      </c>
      <c r="F402" s="422">
        <v>237</v>
      </c>
      <c r="G402" s="422">
        <v>270</v>
      </c>
      <c r="H402" s="422">
        <v>376</v>
      </c>
    </row>
    <row r="403" spans="2:8" ht="15" customHeight="1">
      <c r="B403" s="419" t="s">
        <v>1140</v>
      </c>
      <c r="C403" s="420">
        <v>1414</v>
      </c>
      <c r="D403" s="420">
        <v>779</v>
      </c>
      <c r="E403" s="420">
        <v>733</v>
      </c>
      <c r="F403" s="420">
        <v>638</v>
      </c>
      <c r="G403" s="420">
        <v>872</v>
      </c>
      <c r="H403" s="420">
        <v>1066</v>
      </c>
    </row>
    <row r="404" spans="2:8" ht="15" customHeight="1">
      <c r="B404" s="421" t="s">
        <v>625</v>
      </c>
      <c r="C404" s="422">
        <v>1063</v>
      </c>
      <c r="D404" s="422">
        <v>561</v>
      </c>
      <c r="E404" s="422">
        <v>481</v>
      </c>
      <c r="F404" s="422">
        <v>372</v>
      </c>
      <c r="G404" s="422">
        <v>476</v>
      </c>
      <c r="H404" s="422">
        <v>523</v>
      </c>
    </row>
    <row r="405" spans="2:8" ht="15" customHeight="1">
      <c r="B405" s="421" t="s">
        <v>626</v>
      </c>
      <c r="C405" s="422">
        <v>351</v>
      </c>
      <c r="D405" s="422">
        <v>218</v>
      </c>
      <c r="E405" s="422">
        <v>252</v>
      </c>
      <c r="F405" s="422">
        <v>266</v>
      </c>
      <c r="G405" s="422">
        <v>396</v>
      </c>
      <c r="H405" s="422">
        <v>543</v>
      </c>
    </row>
    <row r="406" spans="2:8" ht="15" customHeight="1">
      <c r="B406" s="419" t="s">
        <v>1141</v>
      </c>
      <c r="C406" s="420">
        <v>297</v>
      </c>
      <c r="D406" s="420">
        <v>286</v>
      </c>
      <c r="E406" s="420">
        <v>318</v>
      </c>
      <c r="F406" s="420">
        <v>256</v>
      </c>
      <c r="G406" s="420">
        <v>89</v>
      </c>
      <c r="H406" s="420">
        <v>130</v>
      </c>
    </row>
    <row r="407" spans="2:8" ht="15" customHeight="1">
      <c r="B407" s="421" t="s">
        <v>625</v>
      </c>
      <c r="C407" s="422">
        <v>153</v>
      </c>
      <c r="D407" s="422">
        <v>157</v>
      </c>
      <c r="E407" s="422">
        <v>200</v>
      </c>
      <c r="F407" s="422">
        <v>109</v>
      </c>
      <c r="G407" s="422">
        <v>39</v>
      </c>
      <c r="H407" s="422">
        <v>58</v>
      </c>
    </row>
    <row r="408" spans="2:8" ht="15" customHeight="1">
      <c r="B408" s="421" t="s">
        <v>626</v>
      </c>
      <c r="C408" s="422">
        <v>144</v>
      </c>
      <c r="D408" s="422">
        <v>129</v>
      </c>
      <c r="E408" s="422">
        <v>118</v>
      </c>
      <c r="F408" s="422">
        <v>147</v>
      </c>
      <c r="G408" s="422">
        <v>50</v>
      </c>
      <c r="H408" s="422">
        <v>72</v>
      </c>
    </row>
    <row r="409" spans="2:8" ht="15" customHeight="1">
      <c r="B409" s="156" t="s">
        <v>724</v>
      </c>
    </row>
    <row r="411" spans="2:8" ht="15" customHeight="1">
      <c r="B411" s="88" t="s">
        <v>1695</v>
      </c>
      <c r="D411" s="17" t="s">
        <v>704</v>
      </c>
    </row>
    <row r="412" spans="2:8" ht="15" customHeight="1">
      <c r="B412" s="77" t="s">
        <v>1145</v>
      </c>
      <c r="C412" s="71" t="s">
        <v>422</v>
      </c>
      <c r="D412" s="71" t="s">
        <v>423</v>
      </c>
      <c r="E412" s="71" t="s">
        <v>424</v>
      </c>
      <c r="F412" s="63" t="s">
        <v>335</v>
      </c>
      <c r="G412" s="63" t="s">
        <v>335</v>
      </c>
      <c r="H412" s="63" t="s">
        <v>256</v>
      </c>
    </row>
    <row r="413" spans="2:8" ht="15" customHeight="1">
      <c r="B413" s="104" t="s">
        <v>1146</v>
      </c>
      <c r="C413" s="97">
        <v>6271</v>
      </c>
      <c r="D413" s="97">
        <v>6335</v>
      </c>
      <c r="E413" s="97">
        <v>6610</v>
      </c>
      <c r="F413" s="97">
        <v>6065</v>
      </c>
      <c r="G413" s="97">
        <v>6250</v>
      </c>
      <c r="H413" s="524">
        <v>6759</v>
      </c>
    </row>
    <row r="414" spans="2:8" ht="15" customHeight="1">
      <c r="B414" s="247" t="s">
        <v>1147</v>
      </c>
      <c r="C414" s="248">
        <v>736</v>
      </c>
      <c r="D414" s="248">
        <v>857</v>
      </c>
      <c r="E414" s="248">
        <v>951</v>
      </c>
      <c r="F414" s="249">
        <v>1027</v>
      </c>
      <c r="G414" s="249">
        <v>1169</v>
      </c>
      <c r="H414" s="249">
        <v>1174</v>
      </c>
    </row>
    <row r="415" spans="2:8" ht="15" customHeight="1">
      <c r="B415" s="105" t="s">
        <v>625</v>
      </c>
      <c r="C415" s="33">
        <v>631</v>
      </c>
      <c r="D415" s="33">
        <v>753</v>
      </c>
      <c r="E415" s="33">
        <v>836</v>
      </c>
      <c r="F415" s="33">
        <v>881</v>
      </c>
      <c r="G415" s="33">
        <v>994</v>
      </c>
      <c r="H415" s="33">
        <v>985</v>
      </c>
    </row>
    <row r="416" spans="2:8" ht="15" customHeight="1">
      <c r="B416" s="105" t="s">
        <v>626</v>
      </c>
      <c r="C416" s="33">
        <v>105</v>
      </c>
      <c r="D416" s="33">
        <v>104</v>
      </c>
      <c r="E416" s="33">
        <v>115</v>
      </c>
      <c r="F416" s="33">
        <v>146</v>
      </c>
      <c r="G416" s="33">
        <v>175</v>
      </c>
      <c r="H416" s="33">
        <v>189</v>
      </c>
    </row>
    <row r="417" spans="2:8" ht="15" customHeight="1">
      <c r="B417" s="247" t="s">
        <v>975</v>
      </c>
      <c r="C417" s="249">
        <v>2704</v>
      </c>
      <c r="D417" s="249">
        <v>2545</v>
      </c>
      <c r="E417" s="249">
        <v>2584</v>
      </c>
      <c r="F417" s="249">
        <v>2507</v>
      </c>
      <c r="G417" s="249">
        <v>2515</v>
      </c>
      <c r="H417" s="249">
        <v>2580</v>
      </c>
    </row>
    <row r="418" spans="2:8" ht="15" customHeight="1">
      <c r="B418" s="105" t="s">
        <v>625</v>
      </c>
      <c r="C418" s="65">
        <v>2058</v>
      </c>
      <c r="D418" s="65">
        <v>1958</v>
      </c>
      <c r="E418" s="65">
        <v>1961</v>
      </c>
      <c r="F418" s="65">
        <v>1909</v>
      </c>
      <c r="G418" s="33">
        <v>1901</v>
      </c>
      <c r="H418" s="33">
        <v>1947</v>
      </c>
    </row>
    <row r="419" spans="2:8" ht="15" customHeight="1">
      <c r="B419" s="105" t="s">
        <v>626</v>
      </c>
      <c r="C419" s="33">
        <v>646</v>
      </c>
      <c r="D419" s="33">
        <v>587</v>
      </c>
      <c r="E419" s="33">
        <v>623</v>
      </c>
      <c r="F419" s="33">
        <v>598</v>
      </c>
      <c r="G419" s="33">
        <v>614</v>
      </c>
      <c r="H419" s="33">
        <v>633</v>
      </c>
    </row>
    <row r="420" spans="2:8" ht="15" customHeight="1">
      <c r="B420" s="247" t="s">
        <v>1138</v>
      </c>
      <c r="C420" s="249">
        <v>1851</v>
      </c>
      <c r="D420" s="249">
        <v>1977</v>
      </c>
      <c r="E420" s="249">
        <v>2128</v>
      </c>
      <c r="F420" s="249">
        <v>1818</v>
      </c>
      <c r="G420" s="249">
        <v>1891</v>
      </c>
      <c r="H420" s="249">
        <v>2037</v>
      </c>
    </row>
    <row r="421" spans="2:8" ht="15" customHeight="1">
      <c r="B421" s="105" t="s">
        <v>625</v>
      </c>
      <c r="C421" s="65">
        <v>1239</v>
      </c>
      <c r="D421" s="65">
        <v>1345</v>
      </c>
      <c r="E421" s="65">
        <v>1455</v>
      </c>
      <c r="F421" s="65">
        <v>1240</v>
      </c>
      <c r="G421" s="33">
        <v>1262</v>
      </c>
      <c r="H421" s="33">
        <v>1366</v>
      </c>
    </row>
    <row r="422" spans="2:8" ht="15" customHeight="1">
      <c r="B422" s="105" t="s">
        <v>626</v>
      </c>
      <c r="C422" s="33">
        <v>612</v>
      </c>
      <c r="D422" s="33">
        <v>632</v>
      </c>
      <c r="E422" s="33">
        <v>673</v>
      </c>
      <c r="F422" s="33">
        <v>578</v>
      </c>
      <c r="G422" s="33">
        <v>629</v>
      </c>
      <c r="H422" s="33">
        <v>671</v>
      </c>
    </row>
    <row r="423" spans="2:8" ht="15" customHeight="1">
      <c r="B423" s="247" t="s">
        <v>1148</v>
      </c>
      <c r="C423" s="248">
        <v>980</v>
      </c>
      <c r="D423" s="248">
        <v>956</v>
      </c>
      <c r="E423" s="248">
        <v>947</v>
      </c>
      <c r="F423" s="248">
        <v>713</v>
      </c>
      <c r="G423" s="248">
        <v>675</v>
      </c>
      <c r="H423" s="248">
        <v>968</v>
      </c>
    </row>
    <row r="424" spans="2:8" ht="15" customHeight="1">
      <c r="B424" s="105" t="s">
        <v>625</v>
      </c>
      <c r="C424" s="33">
        <v>724</v>
      </c>
      <c r="D424" s="33">
        <v>702</v>
      </c>
      <c r="E424" s="33">
        <v>669</v>
      </c>
      <c r="F424" s="33">
        <v>547</v>
      </c>
      <c r="G424" s="33">
        <v>508</v>
      </c>
      <c r="H424" s="33">
        <v>694</v>
      </c>
    </row>
    <row r="425" spans="2:8" ht="15" customHeight="1">
      <c r="B425" s="105" t="s">
        <v>626</v>
      </c>
      <c r="C425" s="33">
        <v>256</v>
      </c>
      <c r="D425" s="33">
        <v>254</v>
      </c>
      <c r="E425" s="33">
        <v>278</v>
      </c>
      <c r="F425" s="33">
        <v>166</v>
      </c>
      <c r="G425" s="33">
        <v>167</v>
      </c>
      <c r="H425" s="33">
        <v>274</v>
      </c>
    </row>
    <row r="426" spans="2:8" ht="15" customHeight="1">
      <c r="B426" s="50" t="s">
        <v>431</v>
      </c>
    </row>
    <row r="427" spans="2:8" ht="15" customHeight="1">
      <c r="E427" s="17" t="s">
        <v>704</v>
      </c>
    </row>
    <row r="428" spans="2:8" ht="15" customHeight="1">
      <c r="B428" s="88" t="s">
        <v>1696</v>
      </c>
    </row>
    <row r="429" spans="2:8" ht="15" customHeight="1">
      <c r="B429" s="71" t="s">
        <v>1145</v>
      </c>
      <c r="C429" s="71" t="s">
        <v>422</v>
      </c>
      <c r="D429" s="71" t="s">
        <v>423</v>
      </c>
      <c r="E429" s="71" t="s">
        <v>424</v>
      </c>
      <c r="F429" s="63" t="s">
        <v>335</v>
      </c>
      <c r="G429" s="63" t="s">
        <v>256</v>
      </c>
      <c r="H429" s="63" t="s">
        <v>257</v>
      </c>
    </row>
    <row r="430" spans="2:8" ht="15" customHeight="1">
      <c r="B430" s="104" t="s">
        <v>1149</v>
      </c>
      <c r="C430" s="97">
        <v>4094</v>
      </c>
      <c r="D430" s="97">
        <v>4086</v>
      </c>
      <c r="E430" s="97">
        <v>4322</v>
      </c>
      <c r="F430" s="97">
        <v>4301</v>
      </c>
      <c r="G430" s="97">
        <v>4302</v>
      </c>
      <c r="H430" s="97">
        <v>4374</v>
      </c>
    </row>
    <row r="431" spans="2:8" ht="15" customHeight="1">
      <c r="B431" s="247" t="s">
        <v>1147</v>
      </c>
      <c r="C431" s="248">
        <v>690</v>
      </c>
      <c r="D431" s="248">
        <v>776</v>
      </c>
      <c r="E431" s="248">
        <v>877</v>
      </c>
      <c r="F431" s="248">
        <v>976</v>
      </c>
      <c r="G431" s="249">
        <v>1083</v>
      </c>
      <c r="H431" s="249">
        <v>1105</v>
      </c>
    </row>
    <row r="432" spans="2:8" ht="15" customHeight="1">
      <c r="B432" s="105" t="s">
        <v>625</v>
      </c>
      <c r="C432" s="33">
        <v>594</v>
      </c>
      <c r="D432" s="33">
        <v>683</v>
      </c>
      <c r="E432" s="33">
        <v>771</v>
      </c>
      <c r="F432" s="33">
        <v>835</v>
      </c>
      <c r="G432" s="33">
        <v>921</v>
      </c>
      <c r="H432" s="33">
        <v>926</v>
      </c>
    </row>
    <row r="433" spans="2:8" ht="15" customHeight="1">
      <c r="B433" s="105" t="s">
        <v>626</v>
      </c>
      <c r="C433" s="33">
        <v>96</v>
      </c>
      <c r="D433" s="33">
        <v>93</v>
      </c>
      <c r="E433" s="33">
        <v>106</v>
      </c>
      <c r="F433" s="33">
        <v>141</v>
      </c>
      <c r="G433" s="33">
        <v>162</v>
      </c>
      <c r="H433" s="33">
        <v>179</v>
      </c>
    </row>
    <row r="434" spans="2:8" ht="15" customHeight="1">
      <c r="B434" s="247" t="s">
        <v>975</v>
      </c>
      <c r="C434" s="249">
        <v>2249</v>
      </c>
      <c r="D434" s="249">
        <v>2104</v>
      </c>
      <c r="E434" s="249">
        <v>2171</v>
      </c>
      <c r="F434" s="249">
        <v>2113</v>
      </c>
      <c r="G434" s="249">
        <v>2107</v>
      </c>
      <c r="H434" s="249">
        <v>2146</v>
      </c>
    </row>
    <row r="435" spans="2:8" ht="15" customHeight="1">
      <c r="B435" s="105" t="s">
        <v>625</v>
      </c>
      <c r="C435" s="65">
        <v>1783</v>
      </c>
      <c r="D435" s="65">
        <v>1670</v>
      </c>
      <c r="E435" s="65">
        <v>1693</v>
      </c>
      <c r="F435" s="65">
        <v>1660</v>
      </c>
      <c r="G435" s="33">
        <v>1642</v>
      </c>
      <c r="H435" s="33">
        <v>1668</v>
      </c>
    </row>
    <row r="436" spans="2:8" ht="15" customHeight="1">
      <c r="B436" s="105" t="s">
        <v>626</v>
      </c>
      <c r="C436" s="33">
        <v>466</v>
      </c>
      <c r="D436" s="33">
        <v>434</v>
      </c>
      <c r="E436" s="33">
        <v>478</v>
      </c>
      <c r="F436" s="33">
        <v>453</v>
      </c>
      <c r="G436" s="33">
        <v>465</v>
      </c>
      <c r="H436" s="33">
        <v>478</v>
      </c>
    </row>
    <row r="437" spans="2:8" ht="15" customHeight="1">
      <c r="B437" s="247" t="s">
        <v>1138</v>
      </c>
      <c r="C437" s="248">
        <v>842</v>
      </c>
      <c r="D437" s="248">
        <v>951</v>
      </c>
      <c r="E437" s="248">
        <v>968</v>
      </c>
      <c r="F437" s="248">
        <v>871</v>
      </c>
      <c r="G437" s="248">
        <v>820</v>
      </c>
      <c r="H437" s="248">
        <v>840</v>
      </c>
    </row>
    <row r="438" spans="2:8" ht="15" customHeight="1">
      <c r="B438" s="105" t="s">
        <v>625</v>
      </c>
      <c r="C438" s="33">
        <v>649</v>
      </c>
      <c r="D438" s="33">
        <v>742</v>
      </c>
      <c r="E438" s="33">
        <v>769</v>
      </c>
      <c r="F438" s="33">
        <v>697</v>
      </c>
      <c r="G438" s="33">
        <v>658</v>
      </c>
      <c r="H438" s="33">
        <v>651</v>
      </c>
    </row>
    <row r="439" spans="2:8" ht="15" customHeight="1">
      <c r="B439" s="105" t="s">
        <v>626</v>
      </c>
      <c r="C439" s="33">
        <v>193</v>
      </c>
      <c r="D439" s="33">
        <v>209</v>
      </c>
      <c r="E439" s="33">
        <v>199</v>
      </c>
      <c r="F439" s="33">
        <v>174</v>
      </c>
      <c r="G439" s="33">
        <v>162</v>
      </c>
      <c r="H439" s="33">
        <v>189</v>
      </c>
    </row>
    <row r="440" spans="2:8" ht="15" customHeight="1">
      <c r="B440" s="247" t="s">
        <v>1148</v>
      </c>
      <c r="C440" s="248">
        <v>313</v>
      </c>
      <c r="D440" s="248">
        <v>255</v>
      </c>
      <c r="E440" s="248">
        <v>306</v>
      </c>
      <c r="F440" s="248">
        <v>341</v>
      </c>
      <c r="G440" s="248">
        <v>292</v>
      </c>
      <c r="H440" s="248">
        <v>283</v>
      </c>
    </row>
    <row r="441" spans="2:8" ht="15" customHeight="1">
      <c r="B441" s="105" t="s">
        <v>625</v>
      </c>
      <c r="C441" s="33">
        <v>268</v>
      </c>
      <c r="D441" s="33">
        <v>229</v>
      </c>
      <c r="E441" s="33">
        <v>267</v>
      </c>
      <c r="F441" s="33">
        <v>300</v>
      </c>
      <c r="G441" s="33">
        <v>258</v>
      </c>
      <c r="H441" s="33">
        <v>246</v>
      </c>
    </row>
    <row r="442" spans="2:8" ht="15" customHeight="1">
      <c r="B442" s="105" t="s">
        <v>626</v>
      </c>
      <c r="C442" s="33">
        <v>45</v>
      </c>
      <c r="D442" s="33">
        <v>26</v>
      </c>
      <c r="E442" s="33">
        <v>39</v>
      </c>
      <c r="F442" s="33">
        <v>41</v>
      </c>
      <c r="G442" s="33">
        <v>34</v>
      </c>
      <c r="H442" s="33">
        <v>37</v>
      </c>
    </row>
    <row r="443" spans="2:8" ht="15" customHeight="1">
      <c r="B443" s="50" t="s">
        <v>431</v>
      </c>
    </row>
    <row r="445" spans="2:8" ht="15" customHeight="1">
      <c r="B445" s="88" t="s">
        <v>1697</v>
      </c>
    </row>
    <row r="446" spans="2:8" ht="15" customHeight="1">
      <c r="B446" s="138" t="s">
        <v>1145</v>
      </c>
      <c r="C446" s="63" t="s">
        <v>422</v>
      </c>
      <c r="D446" s="63" t="s">
        <v>423</v>
      </c>
      <c r="E446" s="63" t="s">
        <v>424</v>
      </c>
      <c r="F446" s="63" t="s">
        <v>335</v>
      </c>
      <c r="G446" s="63" t="s">
        <v>256</v>
      </c>
      <c r="H446" s="63" t="s">
        <v>257</v>
      </c>
    </row>
    <row r="447" spans="2:8" ht="15" customHeight="1">
      <c r="B447" s="104" t="s">
        <v>1150</v>
      </c>
      <c r="C447" s="97">
        <v>2177</v>
      </c>
      <c r="D447" s="97">
        <v>2249</v>
      </c>
      <c r="E447" s="97">
        <v>2288</v>
      </c>
      <c r="F447" s="97">
        <v>1764</v>
      </c>
      <c r="G447" s="97">
        <v>1948</v>
      </c>
      <c r="H447" s="524">
        <v>2374</v>
      </c>
    </row>
    <row r="448" spans="2:8" ht="15" customHeight="1">
      <c r="B448" s="247" t="s">
        <v>1147</v>
      </c>
      <c r="C448" s="248">
        <v>46</v>
      </c>
      <c r="D448" s="248">
        <v>81</v>
      </c>
      <c r="E448" s="248">
        <v>74</v>
      </c>
      <c r="F448" s="248">
        <v>51</v>
      </c>
      <c r="G448" s="248">
        <v>86</v>
      </c>
      <c r="H448" s="248">
        <v>68</v>
      </c>
    </row>
    <row r="449" spans="2:8" ht="15" customHeight="1">
      <c r="B449" s="105" t="s">
        <v>625</v>
      </c>
      <c r="C449" s="33">
        <v>37</v>
      </c>
      <c r="D449" s="33">
        <v>70</v>
      </c>
      <c r="E449" s="33">
        <v>65</v>
      </c>
      <c r="F449" s="33">
        <v>46</v>
      </c>
      <c r="G449" s="33">
        <v>73</v>
      </c>
      <c r="H449" s="33">
        <v>58</v>
      </c>
    </row>
    <row r="450" spans="2:8" ht="15" customHeight="1">
      <c r="B450" s="105" t="s">
        <v>626</v>
      </c>
      <c r="C450" s="33">
        <v>9</v>
      </c>
      <c r="D450" s="33">
        <v>11</v>
      </c>
      <c r="E450" s="33">
        <v>9</v>
      </c>
      <c r="F450" s="33">
        <v>5</v>
      </c>
      <c r="G450" s="33">
        <v>13</v>
      </c>
      <c r="H450" s="33">
        <v>10</v>
      </c>
    </row>
    <row r="451" spans="2:8" ht="15" customHeight="1">
      <c r="B451" s="247" t="s">
        <v>975</v>
      </c>
      <c r="C451" s="248">
        <v>455</v>
      </c>
      <c r="D451" s="248">
        <v>441</v>
      </c>
      <c r="E451" s="248">
        <v>413</v>
      </c>
      <c r="F451" s="248">
        <v>394</v>
      </c>
      <c r="G451" s="248">
        <v>408</v>
      </c>
      <c r="H451" s="248">
        <v>430</v>
      </c>
    </row>
    <row r="452" spans="2:8" ht="15" customHeight="1">
      <c r="B452" s="105" t="s">
        <v>625</v>
      </c>
      <c r="C452" s="33">
        <v>275</v>
      </c>
      <c r="D452" s="33">
        <v>288</v>
      </c>
      <c r="E452" s="33">
        <v>268</v>
      </c>
      <c r="F452" s="33">
        <v>249</v>
      </c>
      <c r="G452" s="33">
        <v>259</v>
      </c>
      <c r="H452" s="33">
        <v>276</v>
      </c>
    </row>
    <row r="453" spans="2:8" ht="15" customHeight="1">
      <c r="B453" s="105" t="s">
        <v>626</v>
      </c>
      <c r="C453" s="33">
        <v>180</v>
      </c>
      <c r="D453" s="33">
        <v>153</v>
      </c>
      <c r="E453" s="33">
        <v>145</v>
      </c>
      <c r="F453" s="33">
        <v>145</v>
      </c>
      <c r="G453" s="33">
        <v>149</v>
      </c>
      <c r="H453" s="33">
        <v>154</v>
      </c>
    </row>
    <row r="454" spans="2:8" ht="15" customHeight="1">
      <c r="B454" s="247" t="s">
        <v>1138</v>
      </c>
      <c r="C454" s="249">
        <v>1009</v>
      </c>
      <c r="D454" s="249">
        <v>1026</v>
      </c>
      <c r="E454" s="249">
        <v>1160</v>
      </c>
      <c r="F454" s="248">
        <v>947</v>
      </c>
      <c r="G454" s="249">
        <v>1071</v>
      </c>
      <c r="H454" s="249">
        <v>1193</v>
      </c>
    </row>
    <row r="455" spans="2:8" ht="15" customHeight="1">
      <c r="B455" s="105" t="s">
        <v>625</v>
      </c>
      <c r="C455" s="33">
        <v>590</v>
      </c>
      <c r="D455" s="33">
        <v>603</v>
      </c>
      <c r="E455" s="33">
        <v>686</v>
      </c>
      <c r="F455" s="33">
        <v>543</v>
      </c>
      <c r="G455" s="33">
        <v>604</v>
      </c>
      <c r="H455" s="33">
        <v>715</v>
      </c>
    </row>
    <row r="456" spans="2:8" ht="15" customHeight="1">
      <c r="B456" s="105" t="s">
        <v>626</v>
      </c>
      <c r="C456" s="33">
        <v>419</v>
      </c>
      <c r="D456" s="33">
        <v>423</v>
      </c>
      <c r="E456" s="33">
        <v>474</v>
      </c>
      <c r="F456" s="33">
        <v>404</v>
      </c>
      <c r="G456" s="33">
        <v>467</v>
      </c>
      <c r="H456" s="33">
        <v>478</v>
      </c>
    </row>
    <row r="457" spans="2:8" ht="15" customHeight="1">
      <c r="B457" s="247" t="s">
        <v>1148</v>
      </c>
      <c r="C457" s="248">
        <v>667</v>
      </c>
      <c r="D457" s="248">
        <v>701</v>
      </c>
      <c r="E457" s="248">
        <v>641</v>
      </c>
      <c r="F457" s="248">
        <v>372</v>
      </c>
      <c r="G457" s="248">
        <v>383</v>
      </c>
      <c r="H457" s="248">
        <v>683</v>
      </c>
    </row>
    <row r="458" spans="2:8" ht="15" customHeight="1">
      <c r="B458" s="105" t="s">
        <v>625</v>
      </c>
      <c r="C458" s="33">
        <v>456</v>
      </c>
      <c r="D458" s="33">
        <v>473</v>
      </c>
      <c r="E458" s="33">
        <v>402</v>
      </c>
      <c r="F458" s="33">
        <v>247</v>
      </c>
      <c r="G458" s="33">
        <v>250</v>
      </c>
      <c r="H458" s="33">
        <v>446</v>
      </c>
    </row>
    <row r="459" spans="2:8" ht="15" customHeight="1">
      <c r="B459" s="105" t="s">
        <v>626</v>
      </c>
      <c r="C459" s="33">
        <v>211</v>
      </c>
      <c r="D459" s="33">
        <v>228</v>
      </c>
      <c r="E459" s="33">
        <v>239</v>
      </c>
      <c r="F459" s="33">
        <v>125</v>
      </c>
      <c r="G459" s="33">
        <v>133</v>
      </c>
      <c r="H459" s="33">
        <v>237</v>
      </c>
    </row>
    <row r="460" spans="2:8" ht="15" customHeight="1">
      <c r="B460" s="50" t="s">
        <v>431</v>
      </c>
    </row>
    <row r="462" spans="2:8" ht="15" customHeight="1">
      <c r="B462" s="25" t="s">
        <v>149</v>
      </c>
    </row>
    <row r="464" spans="2:8" ht="15" customHeight="1">
      <c r="B464" s="88" t="s">
        <v>1151</v>
      </c>
    </row>
    <row r="465" spans="2:8" ht="15" customHeight="1">
      <c r="B465" s="138" t="s">
        <v>376</v>
      </c>
      <c r="C465" s="139">
        <v>2017</v>
      </c>
      <c r="D465" s="139">
        <v>2018</v>
      </c>
      <c r="E465" s="139">
        <v>2019</v>
      </c>
      <c r="F465" s="138" t="s">
        <v>335</v>
      </c>
      <c r="G465" s="138" t="s">
        <v>256</v>
      </c>
      <c r="H465" s="138" t="s">
        <v>257</v>
      </c>
    </row>
    <row r="466" spans="2:8" ht="15" customHeight="1">
      <c r="B466" s="129" t="s">
        <v>1152</v>
      </c>
      <c r="C466" s="140">
        <v>5116</v>
      </c>
      <c r="D466" s="140">
        <v>5414</v>
      </c>
      <c r="E466" s="140">
        <v>6183</v>
      </c>
      <c r="F466" s="140">
        <v>7444</v>
      </c>
      <c r="G466" s="140">
        <v>7259</v>
      </c>
      <c r="H466" s="140">
        <v>9215</v>
      </c>
    </row>
    <row r="467" spans="2:8" ht="15" customHeight="1">
      <c r="B467" s="105" t="s">
        <v>1153</v>
      </c>
      <c r="C467" s="143">
        <v>778</v>
      </c>
      <c r="D467" s="143">
        <v>813</v>
      </c>
      <c r="E467" s="143">
        <v>943</v>
      </c>
      <c r="F467" s="141">
        <v>1047</v>
      </c>
      <c r="G467" s="141">
        <v>1542</v>
      </c>
      <c r="H467" s="141">
        <v>1672</v>
      </c>
    </row>
    <row r="468" spans="2:8" ht="15" customHeight="1">
      <c r="B468" s="105" t="s">
        <v>1154</v>
      </c>
      <c r="C468" s="141">
        <v>4338</v>
      </c>
      <c r="D468" s="141">
        <v>4601</v>
      </c>
      <c r="E468" s="141">
        <v>5240</v>
      </c>
      <c r="F468" s="141">
        <v>6397</v>
      </c>
      <c r="G468" s="141">
        <v>5717</v>
      </c>
      <c r="H468" s="141">
        <v>7543</v>
      </c>
    </row>
    <row r="469" spans="2:8" ht="15" customHeight="1">
      <c r="B469" s="250" t="s">
        <v>1155</v>
      </c>
      <c r="C469" s="251">
        <v>0.84699999999999998</v>
      </c>
      <c r="D469" s="251">
        <v>0.86199999999999999</v>
      </c>
      <c r="E469" s="251">
        <v>0.89200000000000002</v>
      </c>
      <c r="F469" s="251">
        <v>0.92700000000000005</v>
      </c>
      <c r="G469" s="251">
        <v>0.98699999999999999</v>
      </c>
      <c r="H469" s="251">
        <v>0.99299999999999999</v>
      </c>
    </row>
    <row r="470" spans="2:8" ht="15" customHeight="1">
      <c r="B470" s="106" t="s">
        <v>1156</v>
      </c>
      <c r="C470" s="246">
        <v>0.81399999999999995</v>
      </c>
      <c r="D470" s="246">
        <v>0.81799999999999995</v>
      </c>
      <c r="E470" s="246">
        <v>0.89</v>
      </c>
      <c r="F470" s="246">
        <v>0.90700000000000003</v>
      </c>
      <c r="G470" s="246">
        <v>0.99199999999999999</v>
      </c>
      <c r="H470" s="246">
        <v>0.99299999999999999</v>
      </c>
    </row>
    <row r="471" spans="2:8" ht="15" customHeight="1">
      <c r="B471" s="106" t="s">
        <v>1157</v>
      </c>
      <c r="C471" s="246">
        <v>0.85299999999999998</v>
      </c>
      <c r="D471" s="246">
        <v>0.87</v>
      </c>
      <c r="E471" s="246">
        <v>0.89200000000000002</v>
      </c>
      <c r="F471" s="246">
        <v>0.93</v>
      </c>
      <c r="G471" s="246">
        <v>0.98599999999999999</v>
      </c>
      <c r="H471" s="246">
        <v>0.99299999999999999</v>
      </c>
    </row>
    <row r="472" spans="2:8" ht="15" customHeight="1">
      <c r="B472" s="129" t="s">
        <v>1158</v>
      </c>
      <c r="C472" s="142">
        <v>923</v>
      </c>
      <c r="D472" s="142">
        <v>866</v>
      </c>
      <c r="E472" s="142">
        <v>748</v>
      </c>
      <c r="F472" s="142">
        <v>590</v>
      </c>
      <c r="G472" s="142">
        <v>92</v>
      </c>
      <c r="H472" s="142">
        <v>65</v>
      </c>
    </row>
    <row r="473" spans="2:8" ht="15" customHeight="1">
      <c r="B473" s="105" t="s">
        <v>1159</v>
      </c>
      <c r="C473" s="143">
        <v>178</v>
      </c>
      <c r="D473" s="143">
        <v>181</v>
      </c>
      <c r="E473" s="143">
        <v>116</v>
      </c>
      <c r="F473" s="143">
        <v>107</v>
      </c>
      <c r="G473" s="143">
        <v>13</v>
      </c>
      <c r="H473" s="143">
        <v>12</v>
      </c>
    </row>
    <row r="474" spans="2:8" ht="15" customHeight="1">
      <c r="B474" s="105" t="s">
        <v>1160</v>
      </c>
      <c r="C474" s="143">
        <v>745</v>
      </c>
      <c r="D474" s="143">
        <v>685</v>
      </c>
      <c r="E474" s="143">
        <v>632</v>
      </c>
      <c r="F474" s="143">
        <v>483</v>
      </c>
      <c r="G474" s="143">
        <v>79</v>
      </c>
      <c r="H474" s="143">
        <v>53</v>
      </c>
    </row>
    <row r="475" spans="2:8" ht="15" customHeight="1">
      <c r="B475" s="250" t="s">
        <v>1161</v>
      </c>
      <c r="C475" s="251">
        <v>0.153</v>
      </c>
      <c r="D475" s="251">
        <v>0.13800000000000001</v>
      </c>
      <c r="E475" s="251">
        <v>0.108</v>
      </c>
      <c r="F475" s="251">
        <v>7.2999999999999995E-2</v>
      </c>
      <c r="G475" s="251">
        <v>1.2999999999999999E-2</v>
      </c>
      <c r="H475" s="251">
        <v>7.0000000000000001E-3</v>
      </c>
    </row>
    <row r="476" spans="2:8" ht="15" customHeight="1">
      <c r="B476" s="106" t="s">
        <v>1162</v>
      </c>
      <c r="C476" s="246">
        <v>0.186</v>
      </c>
      <c r="D476" s="246">
        <v>0.182</v>
      </c>
      <c r="E476" s="246">
        <v>0.11</v>
      </c>
      <c r="F476" s="246">
        <v>9.2999999999999999E-2</v>
      </c>
      <c r="G476" s="246">
        <v>8.0000000000000002E-3</v>
      </c>
      <c r="H476" s="246">
        <v>7.0000000000000001E-3</v>
      </c>
    </row>
    <row r="477" spans="2:8" ht="15" customHeight="1">
      <c r="B477" s="106" t="s">
        <v>1163</v>
      </c>
      <c r="C477" s="246">
        <v>0.14699999999999999</v>
      </c>
      <c r="D477" s="246">
        <v>0.13</v>
      </c>
      <c r="E477" s="246">
        <v>0.108</v>
      </c>
      <c r="F477" s="246">
        <v>7.0000000000000007E-2</v>
      </c>
      <c r="G477" s="246">
        <v>1.4E-2</v>
      </c>
      <c r="H477" s="246">
        <v>7.0000000000000001E-3</v>
      </c>
    </row>
    <row r="478" spans="2:8" ht="15" customHeight="1">
      <c r="B478" s="50" t="s">
        <v>431</v>
      </c>
    </row>
    <row r="480" spans="2:8" ht="15" customHeight="1">
      <c r="B480" s="88" t="s">
        <v>1164</v>
      </c>
    </row>
    <row r="481" spans="2:8" ht="15" customHeight="1">
      <c r="B481" s="138" t="s">
        <v>376</v>
      </c>
      <c r="C481" s="63">
        <v>2017</v>
      </c>
      <c r="D481" s="63">
        <v>2018</v>
      </c>
      <c r="E481" s="63">
        <v>2019</v>
      </c>
      <c r="F481" s="63" t="s">
        <v>335</v>
      </c>
      <c r="G481" s="63" t="s">
        <v>256</v>
      </c>
      <c r="H481" s="63" t="s">
        <v>257</v>
      </c>
    </row>
    <row r="482" spans="2:8" ht="15" customHeight="1">
      <c r="B482" s="129" t="s">
        <v>1152</v>
      </c>
      <c r="C482" s="31">
        <v>40905</v>
      </c>
      <c r="D482" s="31">
        <v>41568</v>
      </c>
      <c r="E482" s="31">
        <v>43348</v>
      </c>
      <c r="F482" s="31">
        <v>60055</v>
      </c>
      <c r="G482" s="31">
        <v>62937</v>
      </c>
      <c r="H482" s="31">
        <v>67505</v>
      </c>
    </row>
    <row r="483" spans="2:8" ht="15" customHeight="1">
      <c r="B483" s="105" t="s">
        <v>1153</v>
      </c>
      <c r="C483" s="65">
        <v>18488</v>
      </c>
      <c r="D483" s="65">
        <v>18670</v>
      </c>
      <c r="E483" s="65">
        <v>19208</v>
      </c>
      <c r="F483" s="65">
        <v>25327</v>
      </c>
      <c r="G483" s="65">
        <v>26779</v>
      </c>
      <c r="H483" s="65">
        <v>29081</v>
      </c>
    </row>
    <row r="484" spans="2:8" ht="15" customHeight="1">
      <c r="B484" s="105" t="s">
        <v>1154</v>
      </c>
      <c r="C484" s="65">
        <v>22417</v>
      </c>
      <c r="D484" s="65">
        <v>22898</v>
      </c>
      <c r="E484" s="65">
        <v>24140</v>
      </c>
      <c r="F484" s="65">
        <v>34728</v>
      </c>
      <c r="G484" s="65">
        <v>36158</v>
      </c>
      <c r="H484" s="65">
        <v>38424</v>
      </c>
    </row>
    <row r="485" spans="2:8" ht="15" customHeight="1">
      <c r="B485" s="250" t="s">
        <v>1155</v>
      </c>
      <c r="C485" s="252">
        <v>0.98399999999999999</v>
      </c>
      <c r="D485" s="252">
        <v>0.98799999999999999</v>
      </c>
      <c r="E485" s="252">
        <v>0.98799999999999999</v>
      </c>
      <c r="F485" s="252">
        <v>0.99</v>
      </c>
      <c r="G485" s="252">
        <v>0.998</v>
      </c>
      <c r="H485" s="252">
        <v>0.999</v>
      </c>
    </row>
    <row r="486" spans="2:8" ht="15" customHeight="1">
      <c r="B486" s="106" t="s">
        <v>1156</v>
      </c>
      <c r="C486" s="99">
        <v>0.97799999999999998</v>
      </c>
      <c r="D486" s="99">
        <v>0.98299999999999998</v>
      </c>
      <c r="E486" s="99">
        <v>0.98299999999999998</v>
      </c>
      <c r="F486" s="99">
        <v>0.98699999999999999</v>
      </c>
      <c r="G486" s="99">
        <v>0.998</v>
      </c>
      <c r="H486" s="99">
        <v>0.999</v>
      </c>
    </row>
    <row r="487" spans="2:8" ht="15" customHeight="1">
      <c r="B487" s="106" t="s">
        <v>1157</v>
      </c>
      <c r="C487" s="99">
        <v>0.98899999999999999</v>
      </c>
      <c r="D487" s="99">
        <v>0.99199999999999999</v>
      </c>
      <c r="E487" s="99">
        <v>0.99199999999999999</v>
      </c>
      <c r="F487" s="99">
        <v>0.99199999999999999</v>
      </c>
      <c r="G487" s="99">
        <v>0.998</v>
      </c>
      <c r="H487" s="99">
        <v>0.99960000000000004</v>
      </c>
    </row>
    <row r="488" spans="2:8" ht="15" customHeight="1">
      <c r="B488" s="129" t="s">
        <v>1158</v>
      </c>
      <c r="C488" s="119">
        <v>668</v>
      </c>
      <c r="D488" s="119">
        <v>505</v>
      </c>
      <c r="E488" s="119">
        <v>530</v>
      </c>
      <c r="F488" s="119">
        <v>611</v>
      </c>
      <c r="G488" s="119">
        <v>109</v>
      </c>
      <c r="H488" s="119">
        <v>34</v>
      </c>
    </row>
    <row r="489" spans="2:8" ht="15" customHeight="1">
      <c r="B489" s="105" t="s">
        <v>1159</v>
      </c>
      <c r="C489" s="33">
        <v>410</v>
      </c>
      <c r="D489" s="33">
        <v>320</v>
      </c>
      <c r="E489" s="33">
        <v>326</v>
      </c>
      <c r="F489" s="33">
        <v>340</v>
      </c>
      <c r="G489" s="33">
        <v>54</v>
      </c>
      <c r="H489" s="33">
        <v>20</v>
      </c>
    </row>
    <row r="490" spans="2:8" ht="15" customHeight="1">
      <c r="B490" s="105" t="s">
        <v>1160</v>
      </c>
      <c r="C490" s="33">
        <v>258</v>
      </c>
      <c r="D490" s="33">
        <v>185</v>
      </c>
      <c r="E490" s="33">
        <v>204</v>
      </c>
      <c r="F490" s="33">
        <v>271</v>
      </c>
      <c r="G490" s="33">
        <v>55</v>
      </c>
      <c r="H490" s="33">
        <v>14</v>
      </c>
    </row>
    <row r="491" spans="2:8" ht="15" customHeight="1">
      <c r="B491" s="250" t="s">
        <v>1161</v>
      </c>
      <c r="C491" s="252">
        <v>1.6E-2</v>
      </c>
      <c r="D491" s="252">
        <v>1.2E-2</v>
      </c>
      <c r="E491" s="252">
        <v>1.2E-2</v>
      </c>
      <c r="F491" s="252">
        <v>0.01</v>
      </c>
      <c r="G491" s="252">
        <v>2E-3</v>
      </c>
      <c r="H491" s="252">
        <v>1E-3</v>
      </c>
    </row>
    <row r="492" spans="2:8" ht="15" customHeight="1">
      <c r="B492" s="106" t="s">
        <v>1162</v>
      </c>
      <c r="C492" s="99">
        <v>2.1999999999999999E-2</v>
      </c>
      <c r="D492" s="99">
        <v>1.7000000000000001E-2</v>
      </c>
      <c r="E492" s="99">
        <v>1.7000000000000001E-2</v>
      </c>
      <c r="F492" s="99">
        <v>1.2999999999999999E-2</v>
      </c>
      <c r="G492" s="99">
        <v>2E-3</v>
      </c>
      <c r="H492" s="99">
        <v>1E-3</v>
      </c>
    </row>
    <row r="493" spans="2:8" ht="15" customHeight="1">
      <c r="B493" s="106" t="s">
        <v>1165</v>
      </c>
      <c r="C493" s="99">
        <v>1.0999999999999999E-2</v>
      </c>
      <c r="D493" s="99">
        <v>8.0000000000000002E-3</v>
      </c>
      <c r="E493" s="99">
        <v>8.0000000000000002E-3</v>
      </c>
      <c r="F493" s="99">
        <v>8.0000000000000002E-3</v>
      </c>
      <c r="G493" s="99">
        <v>2E-3</v>
      </c>
      <c r="H493" s="99">
        <v>4.0000000000000002E-4</v>
      </c>
    </row>
    <row r="494" spans="2:8" ht="15" customHeight="1">
      <c r="B494" s="50" t="s">
        <v>431</v>
      </c>
    </row>
    <row r="496" spans="2:8" ht="15" customHeight="1">
      <c r="B496" s="88" t="s">
        <v>1166</v>
      </c>
    </row>
    <row r="497" spans="2:8" ht="15" customHeight="1">
      <c r="B497" s="138" t="s">
        <v>376</v>
      </c>
      <c r="C497" s="139">
        <v>2017</v>
      </c>
      <c r="D497" s="139">
        <v>2018</v>
      </c>
      <c r="E497" s="139">
        <v>2019</v>
      </c>
      <c r="F497" s="138" t="s">
        <v>335</v>
      </c>
      <c r="G497" s="138" t="s">
        <v>256</v>
      </c>
      <c r="H497" s="138" t="s">
        <v>257</v>
      </c>
    </row>
    <row r="498" spans="2:8" ht="15" customHeight="1">
      <c r="B498" s="129" t="s">
        <v>1152</v>
      </c>
      <c r="C498" s="140">
        <v>16117</v>
      </c>
      <c r="D498" s="140">
        <v>16139</v>
      </c>
      <c r="E498" s="140">
        <v>16566</v>
      </c>
      <c r="F498" s="140">
        <v>23051</v>
      </c>
      <c r="G498" s="140">
        <v>23968</v>
      </c>
      <c r="H498" s="140">
        <v>26483</v>
      </c>
    </row>
    <row r="499" spans="2:8" ht="15" customHeight="1">
      <c r="B499" s="105" t="s">
        <v>1153</v>
      </c>
      <c r="C499" s="141">
        <v>11644</v>
      </c>
      <c r="D499" s="141">
        <v>11549</v>
      </c>
      <c r="E499" s="141">
        <v>11805</v>
      </c>
      <c r="F499" s="141">
        <v>15491</v>
      </c>
      <c r="G499" s="141">
        <v>16021</v>
      </c>
      <c r="H499" s="141">
        <v>17329</v>
      </c>
    </row>
    <row r="500" spans="2:8" ht="15" customHeight="1">
      <c r="B500" s="105" t="s">
        <v>1154</v>
      </c>
      <c r="C500" s="141">
        <v>4473</v>
      </c>
      <c r="D500" s="141">
        <v>4590</v>
      </c>
      <c r="E500" s="141">
        <v>4761</v>
      </c>
      <c r="F500" s="141">
        <v>7560</v>
      </c>
      <c r="G500" s="141">
        <v>7947</v>
      </c>
      <c r="H500" s="141">
        <v>9154</v>
      </c>
    </row>
    <row r="501" spans="2:8" ht="15" customHeight="1">
      <c r="B501" s="250" t="s">
        <v>1155</v>
      </c>
      <c r="C501" s="251">
        <v>0.83599999999999997</v>
      </c>
      <c r="D501" s="251">
        <v>0.82499999999999996</v>
      </c>
      <c r="E501" s="251">
        <v>0.83699999999999997</v>
      </c>
      <c r="F501" s="251">
        <v>0.94499999999999995</v>
      </c>
      <c r="G501" s="251">
        <v>0.94099999999999995</v>
      </c>
      <c r="H501" s="251">
        <v>0.94099999999999995</v>
      </c>
    </row>
    <row r="502" spans="2:8" ht="15" customHeight="1">
      <c r="B502" s="106" t="s">
        <v>1156</v>
      </c>
      <c r="C502" s="246">
        <v>0.84499999999999997</v>
      </c>
      <c r="D502" s="246">
        <v>0.83199999999999996</v>
      </c>
      <c r="E502" s="246">
        <v>0.84299999999999997</v>
      </c>
      <c r="F502" s="246">
        <v>0.94299999999999995</v>
      </c>
      <c r="G502" s="246">
        <v>0.94599999999999995</v>
      </c>
      <c r="H502" s="246">
        <v>0.94499999999999995</v>
      </c>
    </row>
    <row r="503" spans="2:8" ht="15" customHeight="1">
      <c r="B503" s="106" t="s">
        <v>1157</v>
      </c>
      <c r="C503" s="246">
        <v>0.81399999999999995</v>
      </c>
      <c r="D503" s="246">
        <v>0.80800000000000005</v>
      </c>
      <c r="E503" s="246">
        <v>0.82299999999999995</v>
      </c>
      <c r="F503" s="246">
        <v>0.94699999999999995</v>
      </c>
      <c r="G503" s="246">
        <v>0.93200000000000005</v>
      </c>
      <c r="H503" s="246">
        <v>0.93400000000000005</v>
      </c>
    </row>
    <row r="504" spans="2:8" ht="15" customHeight="1">
      <c r="B504" s="129" t="s">
        <v>1158</v>
      </c>
      <c r="C504" s="140">
        <v>3151</v>
      </c>
      <c r="D504" s="140">
        <v>3424</v>
      </c>
      <c r="E504" s="140">
        <v>3227</v>
      </c>
      <c r="F504" s="140">
        <v>1352</v>
      </c>
      <c r="G504" s="140">
        <v>1500</v>
      </c>
      <c r="H504" s="140">
        <v>1657</v>
      </c>
    </row>
    <row r="505" spans="2:8" ht="15" customHeight="1">
      <c r="B505" s="105" t="s">
        <v>1159</v>
      </c>
      <c r="C505" s="141">
        <v>2128</v>
      </c>
      <c r="D505" s="141">
        <v>2334</v>
      </c>
      <c r="E505" s="141">
        <v>2202</v>
      </c>
      <c r="F505" s="143">
        <v>931</v>
      </c>
      <c r="G505" s="143">
        <v>916</v>
      </c>
      <c r="H505" s="143">
        <v>1013</v>
      </c>
    </row>
    <row r="506" spans="2:8" ht="15" customHeight="1">
      <c r="B506" s="105" t="s">
        <v>1160</v>
      </c>
      <c r="C506" s="141">
        <v>1023</v>
      </c>
      <c r="D506" s="141">
        <v>1090</v>
      </c>
      <c r="E506" s="141">
        <v>1025</v>
      </c>
      <c r="F506" s="143">
        <v>421</v>
      </c>
      <c r="G506" s="143">
        <v>584</v>
      </c>
      <c r="H506" s="143">
        <v>644</v>
      </c>
    </row>
    <row r="507" spans="2:8" ht="15" customHeight="1">
      <c r="B507" s="250" t="s">
        <v>1161</v>
      </c>
      <c r="C507" s="251">
        <v>0.16400000000000001</v>
      </c>
      <c r="D507" s="251">
        <v>0.17499999999999999</v>
      </c>
      <c r="E507" s="251">
        <v>0.16300000000000001</v>
      </c>
      <c r="F507" s="251">
        <v>5.5E-2</v>
      </c>
      <c r="G507" s="251">
        <v>5.8999999999999997E-2</v>
      </c>
      <c r="H507" s="251">
        <v>5.8999999999999997E-2</v>
      </c>
    </row>
    <row r="508" spans="2:8" ht="15" customHeight="1">
      <c r="B508" s="106" t="s">
        <v>1162</v>
      </c>
      <c r="C508" s="246">
        <v>0.155</v>
      </c>
      <c r="D508" s="246">
        <v>0.16800000000000001</v>
      </c>
      <c r="E508" s="246">
        <v>0.157</v>
      </c>
      <c r="F508" s="246">
        <v>5.7000000000000002E-2</v>
      </c>
      <c r="G508" s="246">
        <v>5.3999999999999999E-2</v>
      </c>
      <c r="H508" s="246">
        <v>5.5E-2</v>
      </c>
    </row>
    <row r="509" spans="2:8" ht="15" customHeight="1">
      <c r="B509" s="106" t="s">
        <v>1163</v>
      </c>
      <c r="C509" s="246">
        <v>0.186</v>
      </c>
      <c r="D509" s="246">
        <v>0.192</v>
      </c>
      <c r="E509" s="246">
        <v>0.17699999999999999</v>
      </c>
      <c r="F509" s="246">
        <v>5.2999999999999999E-2</v>
      </c>
      <c r="G509" s="246">
        <v>6.8000000000000005E-2</v>
      </c>
      <c r="H509" s="246">
        <v>6.6000000000000003E-2</v>
      </c>
    </row>
    <row r="510" spans="2:8" ht="15" customHeight="1">
      <c r="B510" s="236" t="s">
        <v>653</v>
      </c>
    </row>
    <row r="512" spans="2:8" ht="15" customHeight="1">
      <c r="B512" s="88" t="s">
        <v>1167</v>
      </c>
    </row>
    <row r="513" spans="2:8" ht="15" customHeight="1">
      <c r="B513" s="138" t="s">
        <v>376</v>
      </c>
      <c r="C513" s="139">
        <v>2017</v>
      </c>
      <c r="D513" s="139">
        <v>2018</v>
      </c>
      <c r="E513" s="139">
        <v>2019</v>
      </c>
      <c r="F513" s="138" t="s">
        <v>335</v>
      </c>
      <c r="G513" s="138" t="s">
        <v>256</v>
      </c>
      <c r="H513" s="138" t="s">
        <v>257</v>
      </c>
    </row>
    <row r="514" spans="2:8" ht="15" customHeight="1">
      <c r="B514" s="129" t="s">
        <v>1152</v>
      </c>
      <c r="C514" s="140">
        <v>2450</v>
      </c>
      <c r="D514" s="140">
        <v>1959</v>
      </c>
      <c r="E514" s="140">
        <v>2741</v>
      </c>
      <c r="F514" s="140">
        <v>3281</v>
      </c>
      <c r="G514" s="140">
        <v>3190</v>
      </c>
      <c r="H514" s="140">
        <v>4305</v>
      </c>
    </row>
    <row r="515" spans="2:8" ht="15" customHeight="1">
      <c r="B515" s="105" t="s">
        <v>1153</v>
      </c>
      <c r="C515" s="141">
        <v>1980</v>
      </c>
      <c r="D515" s="141">
        <v>1535</v>
      </c>
      <c r="E515" s="141">
        <v>2215</v>
      </c>
      <c r="F515" s="141">
        <v>2593</v>
      </c>
      <c r="G515" s="141">
        <v>2412</v>
      </c>
      <c r="H515" s="141">
        <v>3256</v>
      </c>
    </row>
    <row r="516" spans="2:8" ht="15" customHeight="1">
      <c r="B516" s="105" t="s">
        <v>1154</v>
      </c>
      <c r="C516" s="143">
        <v>470</v>
      </c>
      <c r="D516" s="143">
        <v>424</v>
      </c>
      <c r="E516" s="143">
        <v>526</v>
      </c>
      <c r="F516" s="143">
        <v>688</v>
      </c>
      <c r="G516" s="143">
        <v>778</v>
      </c>
      <c r="H516" s="143">
        <v>1049</v>
      </c>
    </row>
    <row r="517" spans="2:8" ht="15" customHeight="1">
      <c r="B517" s="250" t="s">
        <v>1155</v>
      </c>
      <c r="C517" s="251">
        <v>0.58899999999999997</v>
      </c>
      <c r="D517" s="251">
        <v>0.52400000000000002</v>
      </c>
      <c r="E517" s="251">
        <v>0.72299999999999998</v>
      </c>
      <c r="F517" s="251">
        <v>0.78600000000000003</v>
      </c>
      <c r="G517" s="251">
        <v>0.76800000000000002</v>
      </c>
      <c r="H517" s="251">
        <v>0.78300000000000003</v>
      </c>
    </row>
    <row r="518" spans="2:8" ht="15" customHeight="1">
      <c r="B518" s="106" t="s">
        <v>1156</v>
      </c>
      <c r="C518" s="246">
        <v>0.62</v>
      </c>
      <c r="D518" s="246">
        <v>0.53400000000000003</v>
      </c>
      <c r="E518" s="246">
        <v>0.76500000000000001</v>
      </c>
      <c r="F518" s="246">
        <v>0.84399999999999997</v>
      </c>
      <c r="G518" s="246">
        <v>0.82399999999999995</v>
      </c>
      <c r="H518" s="246">
        <v>0.84799999999999998</v>
      </c>
    </row>
    <row r="519" spans="2:8" ht="15" customHeight="1">
      <c r="B519" s="106" t="s">
        <v>1157</v>
      </c>
      <c r="C519" s="246">
        <v>0.48699999999999999</v>
      </c>
      <c r="D519" s="246">
        <v>0.49099999999999999</v>
      </c>
      <c r="E519" s="246">
        <v>0.58699999999999997</v>
      </c>
      <c r="F519" s="246">
        <v>0.625</v>
      </c>
      <c r="G519" s="246">
        <v>0.63600000000000001</v>
      </c>
      <c r="H519" s="246">
        <v>0.63100000000000001</v>
      </c>
    </row>
    <row r="520" spans="2:8" ht="15" customHeight="1">
      <c r="B520" s="129" t="s">
        <v>1158</v>
      </c>
      <c r="C520" s="140">
        <v>1711</v>
      </c>
      <c r="D520" s="140">
        <v>1782</v>
      </c>
      <c r="E520" s="140">
        <v>1051</v>
      </c>
      <c r="F520" s="142">
        <v>894</v>
      </c>
      <c r="G520" s="142">
        <v>961</v>
      </c>
      <c r="H520" s="142">
        <v>1197</v>
      </c>
    </row>
    <row r="521" spans="2:8" ht="15" customHeight="1">
      <c r="B521" s="105" t="s">
        <v>1159</v>
      </c>
      <c r="C521" s="141">
        <v>1216</v>
      </c>
      <c r="D521" s="141">
        <v>1342</v>
      </c>
      <c r="E521" s="143">
        <v>681</v>
      </c>
      <c r="F521" s="143">
        <v>481</v>
      </c>
      <c r="G521" s="143">
        <v>515</v>
      </c>
      <c r="H521" s="143">
        <v>582</v>
      </c>
    </row>
    <row r="522" spans="2:8" ht="15" customHeight="1">
      <c r="B522" s="105" t="s">
        <v>1160</v>
      </c>
      <c r="C522" s="143">
        <v>495</v>
      </c>
      <c r="D522" s="143">
        <v>440</v>
      </c>
      <c r="E522" s="143">
        <v>370</v>
      </c>
      <c r="F522" s="143">
        <v>413</v>
      </c>
      <c r="G522" s="143">
        <v>446</v>
      </c>
      <c r="H522" s="143">
        <v>615</v>
      </c>
    </row>
    <row r="523" spans="2:8" ht="15" customHeight="1">
      <c r="B523" s="250" t="s">
        <v>1161</v>
      </c>
      <c r="C523" s="251">
        <v>0.41099999999999998</v>
      </c>
      <c r="D523" s="251">
        <v>0.47599999999999998</v>
      </c>
      <c r="E523" s="251">
        <v>0.27700000000000002</v>
      </c>
      <c r="F523" s="251">
        <v>0.214</v>
      </c>
      <c r="G523" s="251">
        <v>0.23200000000000001</v>
      </c>
      <c r="H523" s="251">
        <v>0.218</v>
      </c>
    </row>
    <row r="524" spans="2:8" ht="15" customHeight="1">
      <c r="B524" s="106" t="s">
        <v>1162</v>
      </c>
      <c r="C524" s="246">
        <v>0.38</v>
      </c>
      <c r="D524" s="246">
        <v>0.46600000000000003</v>
      </c>
      <c r="E524" s="246">
        <v>0.23499999999999999</v>
      </c>
      <c r="F524" s="246">
        <v>0.156</v>
      </c>
      <c r="G524" s="246">
        <v>0.17599999999999999</v>
      </c>
      <c r="H524" s="246">
        <v>0.152</v>
      </c>
    </row>
    <row r="525" spans="2:8" ht="15" customHeight="1">
      <c r="B525" s="106" t="s">
        <v>1163</v>
      </c>
      <c r="C525" s="246">
        <v>0.51300000000000001</v>
      </c>
      <c r="D525" s="246">
        <v>0.50900000000000001</v>
      </c>
      <c r="E525" s="246">
        <v>0.41299999999999998</v>
      </c>
      <c r="F525" s="246">
        <v>0.375</v>
      </c>
      <c r="G525" s="246">
        <v>0.36399999999999999</v>
      </c>
      <c r="H525" s="246">
        <v>0.37</v>
      </c>
    </row>
    <row r="526" spans="2:8" ht="15" customHeight="1">
      <c r="B526" s="50" t="s">
        <v>431</v>
      </c>
    </row>
    <row r="528" spans="2:8" ht="15" customHeight="1">
      <c r="B528" s="88" t="s">
        <v>1168</v>
      </c>
    </row>
    <row r="529" spans="2:8" ht="15" customHeight="1">
      <c r="B529" s="345" t="s">
        <v>1169</v>
      </c>
      <c r="C529" s="346" t="s">
        <v>1170</v>
      </c>
      <c r="D529" s="346" t="s">
        <v>1171</v>
      </c>
      <c r="E529" s="346" t="s">
        <v>1172</v>
      </c>
      <c r="F529" s="346" t="s">
        <v>1173</v>
      </c>
      <c r="G529" s="346" t="s">
        <v>1174</v>
      </c>
      <c r="H529" s="347" t="s">
        <v>1175</v>
      </c>
    </row>
    <row r="530" spans="2:8" ht="15" customHeight="1">
      <c r="B530" s="250" t="s">
        <v>1176</v>
      </c>
      <c r="C530" s="107" t="s">
        <v>1177</v>
      </c>
      <c r="D530" s="107" t="s">
        <v>1178</v>
      </c>
      <c r="E530" s="107" t="s">
        <v>1179</v>
      </c>
      <c r="F530" s="107" t="s">
        <v>1180</v>
      </c>
      <c r="G530" s="107" t="s">
        <v>1181</v>
      </c>
      <c r="H530" s="524">
        <v>4374</v>
      </c>
    </row>
    <row r="531" spans="2:8" ht="15" customHeight="1">
      <c r="B531" s="348" t="s">
        <v>1182</v>
      </c>
      <c r="C531" s="132" t="s">
        <v>1183</v>
      </c>
      <c r="D531" s="132" t="s">
        <v>1184</v>
      </c>
      <c r="E531" s="132" t="s">
        <v>1185</v>
      </c>
      <c r="F531" s="132" t="s">
        <v>1186</v>
      </c>
      <c r="G531" s="132" t="s">
        <v>1187</v>
      </c>
      <c r="H531" s="128">
        <v>3491</v>
      </c>
    </row>
    <row r="532" spans="2:8" ht="15" customHeight="1">
      <c r="B532" s="348" t="s">
        <v>1188</v>
      </c>
      <c r="C532" s="132" t="s">
        <v>1189</v>
      </c>
      <c r="D532" s="132" t="s">
        <v>1190</v>
      </c>
      <c r="E532" s="132" t="s">
        <v>1191</v>
      </c>
      <c r="F532" s="132" t="s">
        <v>1192</v>
      </c>
      <c r="G532" s="132" t="s">
        <v>1193</v>
      </c>
      <c r="H532" s="132">
        <v>883</v>
      </c>
    </row>
    <row r="533" spans="2:8" ht="15" customHeight="1">
      <c r="B533" s="250" t="s">
        <v>1194</v>
      </c>
      <c r="C533" s="107">
        <v>690</v>
      </c>
      <c r="D533" s="107">
        <v>776</v>
      </c>
      <c r="E533" s="107">
        <v>877</v>
      </c>
      <c r="F533" s="107">
        <v>976</v>
      </c>
      <c r="G533" s="107">
        <v>1083</v>
      </c>
      <c r="H533" s="524">
        <v>1105</v>
      </c>
    </row>
    <row r="534" spans="2:8" ht="15" customHeight="1">
      <c r="B534" s="348" t="s">
        <v>1182</v>
      </c>
      <c r="C534" s="132">
        <v>594</v>
      </c>
      <c r="D534" s="132">
        <v>683</v>
      </c>
      <c r="E534" s="132">
        <v>771</v>
      </c>
      <c r="F534" s="132">
        <v>835</v>
      </c>
      <c r="G534" s="132">
        <v>921</v>
      </c>
      <c r="H534" s="132">
        <v>926</v>
      </c>
    </row>
    <row r="535" spans="2:8" ht="15" customHeight="1">
      <c r="B535" s="348" t="s">
        <v>1188</v>
      </c>
      <c r="C535" s="132">
        <v>96</v>
      </c>
      <c r="D535" s="132">
        <v>93</v>
      </c>
      <c r="E535" s="132">
        <v>106</v>
      </c>
      <c r="F535" s="132">
        <v>141</v>
      </c>
      <c r="G535" s="132">
        <v>162</v>
      </c>
      <c r="H535" s="132">
        <v>179</v>
      </c>
    </row>
    <row r="536" spans="2:8" ht="15" customHeight="1">
      <c r="B536" s="348" t="s">
        <v>1195</v>
      </c>
      <c r="C536" s="118">
        <v>0.86099999999999999</v>
      </c>
      <c r="D536" s="118">
        <v>0.88</v>
      </c>
      <c r="E536" s="118">
        <v>0.879</v>
      </c>
      <c r="F536" s="118">
        <v>0.86</v>
      </c>
      <c r="G536" s="118">
        <v>0.85</v>
      </c>
      <c r="H536" s="118">
        <v>0.83800904977375568</v>
      </c>
    </row>
    <row r="537" spans="2:8" ht="15" customHeight="1">
      <c r="B537" s="348" t="s">
        <v>1196</v>
      </c>
      <c r="C537" s="118">
        <v>0.13900000000000001</v>
      </c>
      <c r="D537" s="118">
        <v>0.12</v>
      </c>
      <c r="E537" s="118">
        <v>0.121</v>
      </c>
      <c r="F537" s="118">
        <v>0.14000000000000001</v>
      </c>
      <c r="G537" s="118">
        <v>0.15</v>
      </c>
      <c r="H537" s="118">
        <v>0.16199095022624435</v>
      </c>
    </row>
    <row r="538" spans="2:8" ht="15" customHeight="1">
      <c r="B538" s="250" t="s">
        <v>1197</v>
      </c>
      <c r="C538" s="192">
        <v>0.16900000000000001</v>
      </c>
      <c r="D538" s="192">
        <v>0.19</v>
      </c>
      <c r="E538" s="192">
        <v>0.20300000000000001</v>
      </c>
      <c r="F538" s="192">
        <v>0.22700000000000001</v>
      </c>
      <c r="G538" s="192">
        <v>0.252</v>
      </c>
      <c r="H538" s="192">
        <v>0.25262917238225879</v>
      </c>
    </row>
    <row r="539" spans="2:8" ht="15" customHeight="1">
      <c r="B539" s="348" t="s">
        <v>1182</v>
      </c>
      <c r="C539" s="118">
        <v>0.18</v>
      </c>
      <c r="D539" s="118">
        <v>0.20499999999999999</v>
      </c>
      <c r="E539" s="118">
        <v>0.22</v>
      </c>
      <c r="F539" s="118">
        <v>0.23899999999999999</v>
      </c>
      <c r="G539" s="118">
        <v>0.26500000000000001</v>
      </c>
      <c r="H539" s="118">
        <v>0.26525350902320249</v>
      </c>
    </row>
    <row r="540" spans="2:8" ht="15" customHeight="1">
      <c r="B540" s="349" t="s">
        <v>1188</v>
      </c>
      <c r="C540" s="118">
        <v>0.12</v>
      </c>
      <c r="D540" s="118">
        <v>0.122</v>
      </c>
      <c r="E540" s="118">
        <v>0.129</v>
      </c>
      <c r="F540" s="118">
        <v>0.17399999999999999</v>
      </c>
      <c r="G540" s="118">
        <v>0.19700000000000001</v>
      </c>
      <c r="H540" s="118">
        <v>0.20271800679501698</v>
      </c>
    </row>
    <row r="541" spans="2:8" ht="15" customHeight="1">
      <c r="B541" s="50" t="s">
        <v>431</v>
      </c>
    </row>
    <row r="542" spans="2:8" ht="15" customHeight="1">
      <c r="B542" s="86"/>
    </row>
    <row r="543" spans="2:8" ht="15" customHeight="1">
      <c r="B543" s="88" t="s">
        <v>1198</v>
      </c>
    </row>
    <row r="544" spans="2:8" ht="15" customHeight="1">
      <c r="B544" s="138" t="s">
        <v>1199</v>
      </c>
      <c r="C544" s="139">
        <v>2017</v>
      </c>
      <c r="D544" s="139">
        <v>2018</v>
      </c>
      <c r="E544" s="139">
        <v>2019</v>
      </c>
      <c r="F544" s="138" t="s">
        <v>335</v>
      </c>
      <c r="G544" s="138" t="s">
        <v>256</v>
      </c>
      <c r="H544" s="138" t="s">
        <v>257</v>
      </c>
    </row>
    <row r="545" spans="2:8" ht="15" customHeight="1">
      <c r="B545" s="240" t="s">
        <v>1126</v>
      </c>
      <c r="C545" s="241">
        <v>43</v>
      </c>
      <c r="D545" s="241">
        <v>42</v>
      </c>
      <c r="E545" s="241">
        <v>46</v>
      </c>
      <c r="F545" s="241">
        <v>39</v>
      </c>
      <c r="G545" s="241">
        <v>49</v>
      </c>
      <c r="H545" s="350">
        <v>59</v>
      </c>
    </row>
    <row r="546" spans="2:8" ht="15" customHeight="1">
      <c r="B546" s="240" t="s">
        <v>1127</v>
      </c>
      <c r="C546" s="241">
        <v>62</v>
      </c>
      <c r="D546" s="241">
        <v>60</v>
      </c>
      <c r="E546" s="241">
        <v>58</v>
      </c>
      <c r="F546" s="241">
        <v>45</v>
      </c>
      <c r="G546" s="241">
        <v>44</v>
      </c>
      <c r="H546" s="351">
        <v>42</v>
      </c>
    </row>
    <row r="547" spans="2:8" ht="15" customHeight="1">
      <c r="B547" s="240" t="s">
        <v>1128</v>
      </c>
      <c r="C547" s="241">
        <v>33</v>
      </c>
      <c r="D547" s="241">
        <v>36</v>
      </c>
      <c r="E547" s="241">
        <v>39</v>
      </c>
      <c r="F547" s="241">
        <v>30</v>
      </c>
      <c r="G547" s="241">
        <v>30</v>
      </c>
      <c r="H547" s="351">
        <v>28</v>
      </c>
    </row>
    <row r="548" spans="2:8" ht="15" customHeight="1">
      <c r="B548" s="240" t="s">
        <v>1129</v>
      </c>
      <c r="C548" s="241">
        <v>32</v>
      </c>
      <c r="D548" s="241">
        <v>38</v>
      </c>
      <c r="E548" s="241">
        <v>29</v>
      </c>
      <c r="F548" s="241">
        <v>27</v>
      </c>
      <c r="G548" s="241">
        <v>26</v>
      </c>
      <c r="H548" s="352">
        <v>24</v>
      </c>
    </row>
    <row r="549" spans="2:8" ht="15" customHeight="1">
      <c r="B549" s="156" t="s">
        <v>724</v>
      </c>
    </row>
    <row r="551" spans="2:8" ht="15" customHeight="1">
      <c r="B551" s="25" t="s">
        <v>156</v>
      </c>
    </row>
    <row r="553" spans="2:8" ht="15" customHeight="1">
      <c r="B553" s="88" t="s">
        <v>157</v>
      </c>
    </row>
    <row r="554" spans="2:8" ht="15" customHeight="1">
      <c r="B554" s="138" t="s">
        <v>376</v>
      </c>
      <c r="C554" s="139">
        <v>2017</v>
      </c>
      <c r="D554" s="139">
        <v>2018</v>
      </c>
      <c r="E554" s="139">
        <v>2019</v>
      </c>
      <c r="F554" s="138" t="s">
        <v>335</v>
      </c>
      <c r="G554" s="138" t="s">
        <v>256</v>
      </c>
      <c r="H554" s="138" t="s">
        <v>257</v>
      </c>
    </row>
    <row r="555" spans="2:8" ht="15" customHeight="1">
      <c r="B555" s="129" t="s">
        <v>1200</v>
      </c>
      <c r="C555" s="140">
        <v>2512</v>
      </c>
      <c r="D555" s="140">
        <v>2865</v>
      </c>
      <c r="E555" s="140">
        <v>3432</v>
      </c>
      <c r="F555" s="140">
        <v>3497</v>
      </c>
      <c r="G555" s="140">
        <v>3854</v>
      </c>
      <c r="H555" s="140">
        <v>4898</v>
      </c>
    </row>
    <row r="556" spans="2:8" ht="15" customHeight="1">
      <c r="B556" s="105" t="s">
        <v>1201</v>
      </c>
      <c r="C556" s="143">
        <v>395</v>
      </c>
      <c r="D556" s="143">
        <v>447</v>
      </c>
      <c r="E556" s="143">
        <v>551</v>
      </c>
      <c r="F556" s="143">
        <v>561</v>
      </c>
      <c r="G556" s="143">
        <v>773</v>
      </c>
      <c r="H556" s="143">
        <v>791</v>
      </c>
    </row>
    <row r="557" spans="2:8" ht="15" customHeight="1">
      <c r="B557" s="105" t="s">
        <v>1202</v>
      </c>
      <c r="C557" s="141">
        <v>2117</v>
      </c>
      <c r="D557" s="141">
        <v>2418</v>
      </c>
      <c r="E557" s="141">
        <v>2881</v>
      </c>
      <c r="F557" s="141">
        <v>2936</v>
      </c>
      <c r="G557" s="141">
        <v>3081</v>
      </c>
      <c r="H557" s="141">
        <v>4107</v>
      </c>
    </row>
    <row r="558" spans="2:8" ht="15" customHeight="1">
      <c r="B558" s="250" t="s">
        <v>1203</v>
      </c>
      <c r="C558" s="251">
        <v>0.41599999999999998</v>
      </c>
      <c r="D558" s="251">
        <v>0.45600000000000002</v>
      </c>
      <c r="E558" s="251">
        <v>0.495</v>
      </c>
      <c r="F558" s="251">
        <v>0.435</v>
      </c>
      <c r="G558" s="251">
        <v>0.52400000000000002</v>
      </c>
      <c r="H558" s="251">
        <v>0.52800000000000002</v>
      </c>
    </row>
    <row r="559" spans="2:8" ht="15" customHeight="1">
      <c r="B559" s="106" t="s">
        <v>1204</v>
      </c>
      <c r="C559" s="246">
        <v>0.41299999999999998</v>
      </c>
      <c r="D559" s="246">
        <v>0.45</v>
      </c>
      <c r="E559" s="246">
        <v>0.52</v>
      </c>
      <c r="F559" s="246">
        <v>0.48599999999999999</v>
      </c>
      <c r="G559" s="246">
        <v>0.497</v>
      </c>
      <c r="H559" s="246">
        <v>0.47</v>
      </c>
    </row>
    <row r="560" spans="2:8" ht="15" customHeight="1">
      <c r="B560" s="106" t="s">
        <v>1205</v>
      </c>
      <c r="C560" s="246">
        <v>0.41599999999999998</v>
      </c>
      <c r="D560" s="246">
        <v>0.45700000000000002</v>
      </c>
      <c r="E560" s="246">
        <v>0.49099999999999999</v>
      </c>
      <c r="F560" s="246">
        <v>0.42699999999999999</v>
      </c>
      <c r="G560" s="246">
        <v>0.53200000000000003</v>
      </c>
      <c r="H560" s="246">
        <v>0.54100000000000004</v>
      </c>
    </row>
    <row r="561" spans="2:8" ht="15" customHeight="1">
      <c r="B561" s="129" t="s">
        <v>1206</v>
      </c>
      <c r="C561" s="140">
        <v>3527</v>
      </c>
      <c r="D561" s="140">
        <v>3415</v>
      </c>
      <c r="E561" s="140">
        <v>3499</v>
      </c>
      <c r="F561" s="140">
        <v>4537</v>
      </c>
      <c r="G561" s="140">
        <v>3497</v>
      </c>
      <c r="H561" s="140">
        <v>4382</v>
      </c>
    </row>
    <row r="562" spans="2:8" ht="15" customHeight="1">
      <c r="B562" s="105" t="s">
        <v>1207</v>
      </c>
      <c r="C562" s="143">
        <v>561</v>
      </c>
      <c r="D562" s="143">
        <v>547</v>
      </c>
      <c r="E562" s="143">
        <v>508</v>
      </c>
      <c r="F562" s="143">
        <v>593</v>
      </c>
      <c r="G562" s="143">
        <v>782</v>
      </c>
      <c r="H562" s="143">
        <v>893</v>
      </c>
    </row>
    <row r="563" spans="2:8" ht="15" customHeight="1">
      <c r="B563" s="105" t="s">
        <v>1208</v>
      </c>
      <c r="C563" s="141">
        <v>2966</v>
      </c>
      <c r="D563" s="141">
        <v>2868</v>
      </c>
      <c r="E563" s="141">
        <v>2991</v>
      </c>
      <c r="F563" s="141">
        <v>3944</v>
      </c>
      <c r="G563" s="141">
        <v>2715</v>
      </c>
      <c r="H563" s="141">
        <v>3489</v>
      </c>
    </row>
    <row r="564" spans="2:8" ht="15" customHeight="1">
      <c r="B564" s="250" t="s">
        <v>1209</v>
      </c>
      <c r="C564" s="251">
        <v>0.58399999999999996</v>
      </c>
      <c r="D564" s="251">
        <v>0.54400000000000004</v>
      </c>
      <c r="E564" s="251">
        <v>0.505</v>
      </c>
      <c r="F564" s="251">
        <v>0.56499999999999995</v>
      </c>
      <c r="G564" s="251">
        <v>0.47599999999999998</v>
      </c>
      <c r="H564" s="251">
        <v>0.47199999999999998</v>
      </c>
    </row>
    <row r="565" spans="2:8" ht="15" customHeight="1">
      <c r="B565" s="106" t="s">
        <v>1210</v>
      </c>
      <c r="C565" s="246">
        <v>0.58699999999999997</v>
      </c>
      <c r="D565" s="246">
        <v>0.55000000000000004</v>
      </c>
      <c r="E565" s="246">
        <v>0.48</v>
      </c>
      <c r="F565" s="246">
        <v>0.51400000000000001</v>
      </c>
      <c r="G565" s="246">
        <v>0.503</v>
      </c>
      <c r="H565" s="246">
        <v>0.53</v>
      </c>
    </row>
    <row r="566" spans="2:8" ht="15" customHeight="1">
      <c r="B566" s="106" t="s">
        <v>1211</v>
      </c>
      <c r="C566" s="246">
        <v>0.58399999999999996</v>
      </c>
      <c r="D566" s="246">
        <v>0.54300000000000004</v>
      </c>
      <c r="E566" s="246">
        <v>0.50900000000000001</v>
      </c>
      <c r="F566" s="246">
        <v>0.57299999999999995</v>
      </c>
      <c r="G566" s="246">
        <v>0.46800000000000003</v>
      </c>
      <c r="H566" s="246">
        <v>0.45900000000000002</v>
      </c>
    </row>
    <row r="567" spans="2:8" ht="15" customHeight="1">
      <c r="B567" s="50" t="s">
        <v>431</v>
      </c>
    </row>
    <row r="569" spans="2:8" ht="15" customHeight="1">
      <c r="B569" s="88" t="s">
        <v>158</v>
      </c>
    </row>
    <row r="570" spans="2:8" ht="15" customHeight="1">
      <c r="B570" s="138" t="s">
        <v>1212</v>
      </c>
      <c r="C570" s="139">
        <v>2017</v>
      </c>
      <c r="D570" s="139">
        <v>2018</v>
      </c>
      <c r="E570" s="139">
        <v>2019</v>
      </c>
      <c r="F570" s="138" t="s">
        <v>335</v>
      </c>
      <c r="G570" s="138" t="s">
        <v>256</v>
      </c>
      <c r="H570" s="138" t="s">
        <v>257</v>
      </c>
    </row>
    <row r="571" spans="2:8" ht="15" customHeight="1">
      <c r="B571" s="129" t="s">
        <v>1200</v>
      </c>
      <c r="C571" s="140">
        <v>38788</v>
      </c>
      <c r="D571" s="140">
        <v>39717</v>
      </c>
      <c r="E571" s="140">
        <v>41711</v>
      </c>
      <c r="F571" s="140">
        <v>46193</v>
      </c>
      <c r="G571" s="140">
        <v>47947</v>
      </c>
      <c r="H571" s="140">
        <v>45875</v>
      </c>
    </row>
    <row r="572" spans="2:8" ht="15" customHeight="1">
      <c r="B572" s="105" t="s">
        <v>1201</v>
      </c>
      <c r="C572" s="141">
        <v>17386</v>
      </c>
      <c r="D572" s="141">
        <v>17722</v>
      </c>
      <c r="E572" s="141">
        <v>18373</v>
      </c>
      <c r="F572" s="141">
        <v>19229</v>
      </c>
      <c r="G572" s="141">
        <v>20089</v>
      </c>
      <c r="H572" s="141">
        <v>19157</v>
      </c>
    </row>
    <row r="573" spans="2:8" ht="15" customHeight="1">
      <c r="B573" s="105" t="s">
        <v>1202</v>
      </c>
      <c r="C573" s="141">
        <v>21402</v>
      </c>
      <c r="D573" s="141">
        <v>21995</v>
      </c>
      <c r="E573" s="141">
        <v>23338</v>
      </c>
      <c r="F573" s="141">
        <v>26964</v>
      </c>
      <c r="G573" s="141">
        <v>27858</v>
      </c>
      <c r="H573" s="141">
        <v>26718</v>
      </c>
    </row>
    <row r="574" spans="2:8" ht="15" customHeight="1">
      <c r="B574" s="250" t="s">
        <v>1203</v>
      </c>
      <c r="C574" s="251">
        <v>0.93300000000000005</v>
      </c>
      <c r="D574" s="251">
        <v>0.94399999999999995</v>
      </c>
      <c r="E574" s="251">
        <v>0.95099999999999996</v>
      </c>
      <c r="F574" s="251">
        <v>0.76100000000000001</v>
      </c>
      <c r="G574" s="251">
        <v>0.76100000000000001</v>
      </c>
      <c r="H574" s="251">
        <v>0.67900000000000005</v>
      </c>
    </row>
    <row r="575" spans="2:8" ht="15" customHeight="1">
      <c r="B575" s="106" t="s">
        <v>1204</v>
      </c>
      <c r="C575" s="246">
        <v>0.92</v>
      </c>
      <c r="D575" s="246">
        <v>0.93300000000000005</v>
      </c>
      <c r="E575" s="246">
        <v>0.94099999999999995</v>
      </c>
      <c r="F575" s="253">
        <v>0.749</v>
      </c>
      <c r="G575" s="246">
        <v>0.749</v>
      </c>
      <c r="H575" s="246">
        <v>0.498</v>
      </c>
    </row>
    <row r="576" spans="2:8" ht="15" customHeight="1">
      <c r="B576" s="106" t="s">
        <v>1205</v>
      </c>
      <c r="C576" s="246">
        <v>0.94399999999999995</v>
      </c>
      <c r="D576" s="246">
        <v>0.95299999999999996</v>
      </c>
      <c r="E576" s="246">
        <v>0.95899999999999996</v>
      </c>
      <c r="F576" s="253">
        <v>0.77</v>
      </c>
      <c r="G576" s="246">
        <v>0.76900000000000002</v>
      </c>
      <c r="H576" s="246">
        <v>0.69499999999999995</v>
      </c>
    </row>
    <row r="577" spans="2:10" ht="15" customHeight="1">
      <c r="B577" s="129" t="s">
        <v>1206</v>
      </c>
      <c r="C577" s="140">
        <v>2785</v>
      </c>
      <c r="D577" s="140">
        <v>2356</v>
      </c>
      <c r="E577" s="140">
        <v>2167</v>
      </c>
      <c r="F577" s="140">
        <v>14473</v>
      </c>
      <c r="G577" s="140">
        <v>15099</v>
      </c>
      <c r="H577" s="140">
        <v>21664</v>
      </c>
    </row>
    <row r="578" spans="2:10" ht="15" customHeight="1">
      <c r="B578" s="105" t="s">
        <v>1207</v>
      </c>
      <c r="C578" s="141">
        <v>1512</v>
      </c>
      <c r="D578" s="141">
        <v>1268</v>
      </c>
      <c r="E578" s="141">
        <v>1161</v>
      </c>
      <c r="F578" s="141">
        <v>6438</v>
      </c>
      <c r="G578" s="141">
        <v>6744</v>
      </c>
      <c r="H578" s="141">
        <v>9943</v>
      </c>
    </row>
    <row r="579" spans="2:10" ht="15" customHeight="1">
      <c r="B579" s="105" t="s">
        <v>1208</v>
      </c>
      <c r="C579" s="141">
        <v>1273</v>
      </c>
      <c r="D579" s="141">
        <v>1088</v>
      </c>
      <c r="E579" s="141">
        <v>1006</v>
      </c>
      <c r="F579" s="141">
        <v>8035</v>
      </c>
      <c r="G579" s="141">
        <v>8355</v>
      </c>
      <c r="H579" s="141">
        <v>11720</v>
      </c>
    </row>
    <row r="580" spans="2:10" ht="15" customHeight="1">
      <c r="B580" s="250" t="s">
        <v>1209</v>
      </c>
      <c r="C580" s="251">
        <v>6.7000000000000004E-2</v>
      </c>
      <c r="D580" s="251">
        <v>5.6000000000000001E-2</v>
      </c>
      <c r="E580" s="251">
        <v>4.9000000000000002E-2</v>
      </c>
      <c r="F580" s="251">
        <v>0.23899999999999999</v>
      </c>
      <c r="G580" s="251">
        <v>0.23899999999999999</v>
      </c>
      <c r="H580" s="251">
        <v>0.32100000000000001</v>
      </c>
    </row>
    <row r="581" spans="2:10" ht="15" customHeight="1">
      <c r="B581" s="106" t="s">
        <v>1210</v>
      </c>
      <c r="C581" s="246">
        <v>0.08</v>
      </c>
      <c r="D581" s="246">
        <v>6.7000000000000004E-2</v>
      </c>
      <c r="E581" s="246">
        <v>5.8999999999999997E-2</v>
      </c>
      <c r="F581" s="246">
        <v>0.251</v>
      </c>
      <c r="G581" s="246">
        <v>0.251</v>
      </c>
      <c r="H581" s="246">
        <v>0.34200000000000003</v>
      </c>
    </row>
    <row r="582" spans="2:10" ht="15" customHeight="1">
      <c r="B582" s="106" t="s">
        <v>1211</v>
      </c>
      <c r="C582" s="246">
        <v>5.6000000000000001E-2</v>
      </c>
      <c r="D582" s="246">
        <v>4.7E-2</v>
      </c>
      <c r="E582" s="246">
        <v>4.1000000000000002E-2</v>
      </c>
      <c r="F582" s="246">
        <v>0.23</v>
      </c>
      <c r="G582" s="246">
        <v>0.23100000000000001</v>
      </c>
      <c r="H582" s="246">
        <v>0.30499999999999999</v>
      </c>
    </row>
    <row r="583" spans="2:10" ht="15" customHeight="1">
      <c r="B583" s="50" t="s">
        <v>431</v>
      </c>
    </row>
    <row r="585" spans="2:10" ht="15" customHeight="1">
      <c r="B585" s="88" t="s">
        <v>159</v>
      </c>
    </row>
    <row r="586" spans="2:10" ht="15" customHeight="1">
      <c r="B586" s="138" t="s">
        <v>1212</v>
      </c>
      <c r="C586" s="139">
        <v>2017</v>
      </c>
      <c r="D586" s="139">
        <v>2018</v>
      </c>
      <c r="E586" s="139">
        <v>2019</v>
      </c>
      <c r="F586" s="138" t="s">
        <v>335</v>
      </c>
      <c r="G586" s="138" t="s">
        <v>256</v>
      </c>
      <c r="H586" s="138" t="s">
        <v>257</v>
      </c>
    </row>
    <row r="587" spans="2:10" ht="15" customHeight="1">
      <c r="B587" s="129" t="s">
        <v>1200</v>
      </c>
      <c r="C587" s="140">
        <v>12432</v>
      </c>
      <c r="D587" s="140">
        <v>13241</v>
      </c>
      <c r="E587" s="140">
        <v>14311</v>
      </c>
      <c r="F587" s="140">
        <v>21252</v>
      </c>
      <c r="G587" s="140">
        <v>21751</v>
      </c>
      <c r="H587" s="140">
        <v>24353</v>
      </c>
    </row>
    <row r="588" spans="2:10" ht="15" customHeight="1">
      <c r="B588" s="105" t="s">
        <v>1201</v>
      </c>
      <c r="C588" s="141">
        <v>8869</v>
      </c>
      <c r="D588" s="141">
        <v>9369</v>
      </c>
      <c r="E588" s="141">
        <v>10107</v>
      </c>
      <c r="F588" s="141">
        <v>14178</v>
      </c>
      <c r="G588" s="141">
        <v>14389</v>
      </c>
      <c r="H588" s="141">
        <v>15797</v>
      </c>
    </row>
    <row r="589" spans="2:10" ht="15" customHeight="1">
      <c r="B589" s="105" t="s">
        <v>1202</v>
      </c>
      <c r="C589" s="141">
        <v>3563</v>
      </c>
      <c r="D589" s="141">
        <v>3872</v>
      </c>
      <c r="E589" s="141">
        <v>4204</v>
      </c>
      <c r="F589" s="141">
        <v>7074</v>
      </c>
      <c r="G589" s="141">
        <v>7362</v>
      </c>
      <c r="H589" s="141">
        <v>8556</v>
      </c>
    </row>
    <row r="590" spans="2:10" ht="15" customHeight="1">
      <c r="B590" s="250" t="s">
        <v>1203</v>
      </c>
      <c r="C590" s="251">
        <v>0.64500000000000002</v>
      </c>
      <c r="D590" s="251">
        <v>0.67700000000000005</v>
      </c>
      <c r="E590" s="251">
        <v>0.72299999999999998</v>
      </c>
      <c r="F590" s="251">
        <v>0.871</v>
      </c>
      <c r="G590" s="251">
        <v>0.85399999999999998</v>
      </c>
      <c r="H590" s="251">
        <v>0.86499999999999999</v>
      </c>
    </row>
    <row r="591" spans="2:10" ht="15" customHeight="1">
      <c r="B591" s="106" t="s">
        <v>1204</v>
      </c>
      <c r="C591" s="246">
        <v>0.64400000000000002</v>
      </c>
      <c r="D591" s="246">
        <v>0.67500000000000004</v>
      </c>
      <c r="E591" s="246">
        <v>0.72199999999999998</v>
      </c>
      <c r="F591" s="246">
        <v>0.86299999999999999</v>
      </c>
      <c r="G591" s="246">
        <v>0.85</v>
      </c>
      <c r="H591" s="246">
        <v>0.86099999999999999</v>
      </c>
      <c r="J591" s="17" t="s">
        <v>704</v>
      </c>
    </row>
    <row r="592" spans="2:10" ht="15" customHeight="1">
      <c r="B592" s="106" t="s">
        <v>1205</v>
      </c>
      <c r="C592" s="246">
        <v>0.64800000000000002</v>
      </c>
      <c r="D592" s="246">
        <v>0.68200000000000005</v>
      </c>
      <c r="E592" s="246">
        <v>0.72699999999999998</v>
      </c>
      <c r="F592" s="246">
        <v>0.88600000000000001</v>
      </c>
      <c r="G592" s="246">
        <v>0.86299999999999999</v>
      </c>
      <c r="H592" s="246">
        <v>0.873</v>
      </c>
    </row>
    <row r="593" spans="2:8" ht="15" customHeight="1">
      <c r="B593" s="129" t="s">
        <v>1206</v>
      </c>
      <c r="C593" s="140">
        <v>6836</v>
      </c>
      <c r="D593" s="140">
        <v>6322</v>
      </c>
      <c r="E593" s="140">
        <v>5482</v>
      </c>
      <c r="F593" s="140">
        <v>3151</v>
      </c>
      <c r="G593" s="140">
        <v>3717</v>
      </c>
      <c r="H593" s="140">
        <v>3787</v>
      </c>
    </row>
    <row r="594" spans="2:8" ht="15" customHeight="1">
      <c r="B594" s="105" t="s">
        <v>1207</v>
      </c>
      <c r="C594" s="141">
        <v>4903</v>
      </c>
      <c r="D594" s="141">
        <v>4514</v>
      </c>
      <c r="E594" s="141">
        <v>3900</v>
      </c>
      <c r="F594" s="141">
        <v>2244</v>
      </c>
      <c r="G594" s="141">
        <v>2548</v>
      </c>
      <c r="H594" s="141">
        <v>2545</v>
      </c>
    </row>
    <row r="595" spans="2:8" ht="15" customHeight="1">
      <c r="B595" s="105" t="s">
        <v>1208</v>
      </c>
      <c r="C595" s="141">
        <v>1933</v>
      </c>
      <c r="D595" s="141">
        <v>1808</v>
      </c>
      <c r="E595" s="141">
        <v>1582</v>
      </c>
      <c r="F595" s="143">
        <v>907</v>
      </c>
      <c r="G595" s="141">
        <v>1169</v>
      </c>
      <c r="H595" s="141">
        <v>1242</v>
      </c>
    </row>
    <row r="596" spans="2:8" ht="15" customHeight="1">
      <c r="B596" s="250" t="s">
        <v>1209</v>
      </c>
      <c r="C596" s="251">
        <v>0.35499999999999998</v>
      </c>
      <c r="D596" s="251">
        <v>0.32300000000000001</v>
      </c>
      <c r="E596" s="251">
        <v>0.27700000000000002</v>
      </c>
      <c r="F596" s="251">
        <v>0.129</v>
      </c>
      <c r="G596" s="251">
        <v>0.14599999999999999</v>
      </c>
      <c r="H596" s="251">
        <v>0.13500000000000001</v>
      </c>
    </row>
    <row r="597" spans="2:8" ht="15" customHeight="1">
      <c r="B597" s="106" t="s">
        <v>1210</v>
      </c>
      <c r="C597" s="246">
        <v>0.35599999999999998</v>
      </c>
      <c r="D597" s="246">
        <v>0.32500000000000001</v>
      </c>
      <c r="E597" s="246">
        <v>0.27800000000000002</v>
      </c>
      <c r="F597" s="246">
        <v>0.13700000000000001</v>
      </c>
      <c r="G597" s="246">
        <v>0.15</v>
      </c>
      <c r="H597" s="246">
        <v>0.13900000000000001</v>
      </c>
    </row>
    <row r="598" spans="2:8" ht="15" customHeight="1">
      <c r="B598" s="106" t="s">
        <v>1211</v>
      </c>
      <c r="C598" s="246">
        <v>0.35199999999999998</v>
      </c>
      <c r="D598" s="246">
        <v>0.318</v>
      </c>
      <c r="E598" s="246">
        <v>0.27300000000000002</v>
      </c>
      <c r="F598" s="246">
        <v>0.114</v>
      </c>
      <c r="G598" s="246">
        <v>0.13700000000000001</v>
      </c>
      <c r="H598" s="246">
        <v>0.127</v>
      </c>
    </row>
    <row r="599" spans="2:8" ht="15" customHeight="1">
      <c r="B599" s="50" t="s">
        <v>431</v>
      </c>
    </row>
    <row r="601" spans="2:8" ht="15" customHeight="1">
      <c r="B601" s="88" t="s">
        <v>160</v>
      </c>
    </row>
    <row r="602" spans="2:8" ht="15" customHeight="1">
      <c r="B602" s="138" t="s">
        <v>1212</v>
      </c>
      <c r="C602" s="139">
        <v>2017</v>
      </c>
      <c r="D602" s="139">
        <v>2018</v>
      </c>
      <c r="E602" s="139">
        <v>2019</v>
      </c>
      <c r="F602" s="138" t="s">
        <v>335</v>
      </c>
      <c r="G602" s="138" t="s">
        <v>256</v>
      </c>
      <c r="H602" s="138" t="s">
        <v>257</v>
      </c>
    </row>
    <row r="603" spans="2:8" ht="15" customHeight="1">
      <c r="B603" s="129" t="s">
        <v>1200</v>
      </c>
      <c r="C603" s="140">
        <v>1313</v>
      </c>
      <c r="D603" s="140">
        <v>1085</v>
      </c>
      <c r="E603" s="140">
        <v>1283</v>
      </c>
      <c r="F603" s="140">
        <v>1243</v>
      </c>
      <c r="G603" s="140">
        <v>1291</v>
      </c>
      <c r="H603" s="140">
        <v>1317</v>
      </c>
    </row>
    <row r="604" spans="2:8" ht="15" customHeight="1">
      <c r="B604" s="105" t="s">
        <v>1201</v>
      </c>
      <c r="C604" s="143">
        <v>977</v>
      </c>
      <c r="D604" s="143">
        <v>817</v>
      </c>
      <c r="E604" s="143">
        <v>961</v>
      </c>
      <c r="F604" s="143">
        <v>923</v>
      </c>
      <c r="G604" s="143">
        <v>948</v>
      </c>
      <c r="H604" s="143">
        <v>917</v>
      </c>
    </row>
    <row r="605" spans="2:8" ht="15" customHeight="1">
      <c r="B605" s="105" t="s">
        <v>1202</v>
      </c>
      <c r="C605" s="143">
        <v>336</v>
      </c>
      <c r="D605" s="143">
        <v>268</v>
      </c>
      <c r="E605" s="143">
        <v>322</v>
      </c>
      <c r="F605" s="143">
        <v>320</v>
      </c>
      <c r="G605" s="143">
        <v>343</v>
      </c>
      <c r="H605" s="143">
        <v>400</v>
      </c>
    </row>
    <row r="606" spans="2:8" ht="15" customHeight="1">
      <c r="B606" s="250" t="s">
        <v>1203</v>
      </c>
      <c r="C606" s="251">
        <v>0.316</v>
      </c>
      <c r="D606" s="251">
        <v>0.28999999999999998</v>
      </c>
      <c r="E606" s="251">
        <v>0.33800000000000002</v>
      </c>
      <c r="F606" s="251">
        <v>0.29799999999999999</v>
      </c>
      <c r="G606" s="251">
        <v>0.311</v>
      </c>
      <c r="H606" s="251">
        <v>0.23899999999999999</v>
      </c>
    </row>
    <row r="607" spans="2:8" ht="15" customHeight="1">
      <c r="B607" s="106" t="s">
        <v>1204</v>
      </c>
      <c r="C607" s="246">
        <v>0.30599999999999999</v>
      </c>
      <c r="D607" s="246">
        <v>0.28399999999999997</v>
      </c>
      <c r="E607" s="246">
        <v>0.33200000000000002</v>
      </c>
      <c r="F607" s="253">
        <v>0.3</v>
      </c>
      <c r="G607" s="246">
        <v>0.32400000000000001</v>
      </c>
      <c r="H607" s="246">
        <v>0.23899999999999999</v>
      </c>
    </row>
    <row r="608" spans="2:8" ht="15" customHeight="1">
      <c r="B608" s="106" t="s">
        <v>1205</v>
      </c>
      <c r="C608" s="246">
        <v>0.34799999999999998</v>
      </c>
      <c r="D608" s="246">
        <v>0.31</v>
      </c>
      <c r="E608" s="246">
        <v>0.35899999999999999</v>
      </c>
      <c r="F608" s="253">
        <v>0.29099999999999998</v>
      </c>
      <c r="G608" s="246">
        <v>0.28000000000000003</v>
      </c>
      <c r="H608" s="246">
        <v>0.24</v>
      </c>
    </row>
    <row r="609" spans="2:8" ht="15" customHeight="1">
      <c r="B609" s="129" t="s">
        <v>1206</v>
      </c>
      <c r="C609" s="140">
        <v>2848</v>
      </c>
      <c r="D609" s="140">
        <v>2656</v>
      </c>
      <c r="E609" s="140">
        <v>2509</v>
      </c>
      <c r="F609" s="140">
        <v>2932</v>
      </c>
      <c r="G609" s="140">
        <v>2860</v>
      </c>
      <c r="H609" s="140">
        <v>4185</v>
      </c>
    </row>
    <row r="610" spans="2:8" ht="15" customHeight="1">
      <c r="B610" s="105" t="s">
        <v>1207</v>
      </c>
      <c r="C610" s="141">
        <v>2219</v>
      </c>
      <c r="D610" s="141">
        <v>2060</v>
      </c>
      <c r="E610" s="141">
        <v>1935</v>
      </c>
      <c r="F610" s="141">
        <v>2151</v>
      </c>
      <c r="G610" s="141">
        <v>1979</v>
      </c>
      <c r="H610" s="141">
        <v>2921</v>
      </c>
    </row>
    <row r="611" spans="2:8" ht="15" customHeight="1">
      <c r="B611" s="105" t="s">
        <v>1208</v>
      </c>
      <c r="C611" s="143">
        <v>629</v>
      </c>
      <c r="D611" s="143">
        <v>596</v>
      </c>
      <c r="E611" s="143">
        <v>574</v>
      </c>
      <c r="F611" s="143">
        <v>781</v>
      </c>
      <c r="G611" s="143">
        <v>881</v>
      </c>
      <c r="H611" s="143">
        <v>1264</v>
      </c>
    </row>
    <row r="612" spans="2:8" ht="15" customHeight="1">
      <c r="B612" s="250" t="s">
        <v>1209</v>
      </c>
      <c r="C612" s="251">
        <v>0.68400000000000005</v>
      </c>
      <c r="D612" s="251">
        <v>0.71</v>
      </c>
      <c r="E612" s="251">
        <v>0.66200000000000003</v>
      </c>
      <c r="F612" s="251">
        <v>0.70199999999999996</v>
      </c>
      <c r="G612" s="251">
        <v>0.68899999999999995</v>
      </c>
      <c r="H612" s="251">
        <v>0.76100000000000001</v>
      </c>
    </row>
    <row r="613" spans="2:8" ht="15" customHeight="1">
      <c r="B613" s="106" t="s">
        <v>1210</v>
      </c>
      <c r="C613" s="246">
        <v>0.69399999999999995</v>
      </c>
      <c r="D613" s="246">
        <v>0.71599999999999997</v>
      </c>
      <c r="E613" s="246">
        <v>0.66800000000000004</v>
      </c>
      <c r="F613" s="246">
        <v>0.7</v>
      </c>
      <c r="G613" s="246">
        <v>0.67600000000000005</v>
      </c>
      <c r="H613" s="246">
        <v>0.76100000000000001</v>
      </c>
    </row>
    <row r="614" spans="2:8" ht="15" customHeight="1">
      <c r="B614" s="106" t="s">
        <v>1211</v>
      </c>
      <c r="C614" s="246">
        <v>0.65200000000000002</v>
      </c>
      <c r="D614" s="246">
        <v>0.69</v>
      </c>
      <c r="E614" s="246">
        <v>0.64100000000000001</v>
      </c>
      <c r="F614" s="246">
        <v>0.70899999999999996</v>
      </c>
      <c r="G614" s="246">
        <v>0.72</v>
      </c>
      <c r="H614" s="246">
        <v>0.76</v>
      </c>
    </row>
    <row r="615" spans="2:8" ht="15" customHeight="1">
      <c r="B615" s="156" t="s">
        <v>724</v>
      </c>
    </row>
    <row r="617" spans="2:8" ht="15" customHeight="1">
      <c r="B617" s="49" t="s">
        <v>161</v>
      </c>
    </row>
    <row r="618" spans="2:8" ht="15" customHeight="1">
      <c r="B618" s="138" t="s">
        <v>376</v>
      </c>
      <c r="C618" s="139">
        <v>2017</v>
      </c>
      <c r="D618" s="139">
        <v>2018</v>
      </c>
      <c r="E618" s="139">
        <v>2019</v>
      </c>
      <c r="F618" s="138" t="s">
        <v>335</v>
      </c>
      <c r="G618" s="138" t="s">
        <v>256</v>
      </c>
      <c r="H618" s="138" t="s">
        <v>257</v>
      </c>
    </row>
    <row r="619" spans="2:8" ht="15" customHeight="1">
      <c r="B619" s="129" t="s">
        <v>1213</v>
      </c>
      <c r="C619" s="140">
        <v>3804</v>
      </c>
      <c r="D619" s="140">
        <v>3525</v>
      </c>
      <c r="E619" s="140">
        <v>3685</v>
      </c>
      <c r="F619" s="140">
        <v>3399</v>
      </c>
      <c r="G619" s="140">
        <v>4829</v>
      </c>
      <c r="H619" s="140">
        <v>4626</v>
      </c>
    </row>
    <row r="620" spans="2:8" ht="15" customHeight="1">
      <c r="B620" s="105" t="s">
        <v>1214</v>
      </c>
      <c r="C620" s="141">
        <v>2386</v>
      </c>
      <c r="D620" s="141">
        <v>2173</v>
      </c>
      <c r="E620" s="141">
        <v>2286</v>
      </c>
      <c r="F620" s="141">
        <v>2006</v>
      </c>
      <c r="G620" s="141">
        <v>2889</v>
      </c>
      <c r="H620" s="141">
        <v>2741</v>
      </c>
    </row>
    <row r="621" spans="2:8" ht="15" customHeight="1">
      <c r="B621" s="105" t="s">
        <v>1215</v>
      </c>
      <c r="C621" s="141">
        <v>1418</v>
      </c>
      <c r="D621" s="141">
        <v>1352</v>
      </c>
      <c r="E621" s="141">
        <v>1399</v>
      </c>
      <c r="F621" s="141">
        <v>1393</v>
      </c>
      <c r="G621" s="141">
        <v>1940</v>
      </c>
      <c r="H621" s="141">
        <v>1885</v>
      </c>
    </row>
    <row r="622" spans="2:8" ht="15" customHeight="1">
      <c r="B622" s="250" t="s">
        <v>1216</v>
      </c>
      <c r="C622" s="251">
        <v>0.60499999999999998</v>
      </c>
      <c r="D622" s="251">
        <v>0.58099999999999996</v>
      </c>
      <c r="E622" s="251">
        <v>0.59899999999999998</v>
      </c>
      <c r="F622" s="251">
        <v>0.57599999999999996</v>
      </c>
      <c r="G622" s="251">
        <v>0.79400000000000004</v>
      </c>
      <c r="H622" s="251">
        <v>0.79500000000000004</v>
      </c>
    </row>
    <row r="623" spans="2:8" ht="15" customHeight="1">
      <c r="B623" s="106" t="s">
        <v>1217</v>
      </c>
      <c r="C623" s="253">
        <v>0.59599999999999997</v>
      </c>
      <c r="D623" s="253">
        <v>0.56899999999999995</v>
      </c>
      <c r="E623" s="253">
        <v>0.60099999999999998</v>
      </c>
      <c r="F623" s="253">
        <v>0.55500000000000005</v>
      </c>
      <c r="G623" s="253">
        <v>0.81</v>
      </c>
      <c r="H623" s="253">
        <v>0.80100000000000005</v>
      </c>
    </row>
    <row r="624" spans="2:8" ht="15" customHeight="1">
      <c r="B624" s="106" t="s">
        <v>1218</v>
      </c>
      <c r="C624" s="253">
        <v>0.622</v>
      </c>
      <c r="D624" s="253">
        <v>0.60099999999999998</v>
      </c>
      <c r="E624" s="253">
        <v>0.59599999999999997</v>
      </c>
      <c r="F624" s="253">
        <v>0.60799999999999998</v>
      </c>
      <c r="G624" s="253">
        <v>0.77100000000000002</v>
      </c>
      <c r="H624" s="253">
        <v>0.78700000000000003</v>
      </c>
    </row>
    <row r="625" spans="2:8" ht="15" customHeight="1">
      <c r="B625" s="129" t="s">
        <v>1219</v>
      </c>
      <c r="C625" s="140">
        <v>2483</v>
      </c>
      <c r="D625" s="140">
        <v>2547</v>
      </c>
      <c r="E625" s="140">
        <v>2467</v>
      </c>
      <c r="F625" s="140">
        <v>2503</v>
      </c>
      <c r="G625" s="140">
        <v>1254</v>
      </c>
      <c r="H625" s="140">
        <v>1191</v>
      </c>
    </row>
    <row r="626" spans="2:8" ht="15" customHeight="1">
      <c r="B626" s="105" t="s">
        <v>1220</v>
      </c>
      <c r="C626" s="141">
        <v>1620</v>
      </c>
      <c r="D626" s="141">
        <v>1649</v>
      </c>
      <c r="E626" s="141">
        <v>1518</v>
      </c>
      <c r="F626" s="141">
        <v>1606</v>
      </c>
      <c r="G626" s="143">
        <v>679</v>
      </c>
      <c r="H626" s="143">
        <v>681</v>
      </c>
    </row>
    <row r="627" spans="2:8" ht="15" customHeight="1">
      <c r="B627" s="105" t="s">
        <v>1221</v>
      </c>
      <c r="C627" s="143">
        <v>863</v>
      </c>
      <c r="D627" s="143">
        <v>898</v>
      </c>
      <c r="E627" s="143">
        <v>949</v>
      </c>
      <c r="F627" s="143">
        <v>897</v>
      </c>
      <c r="G627" s="143">
        <v>575</v>
      </c>
      <c r="H627" s="143">
        <v>510</v>
      </c>
    </row>
    <row r="628" spans="2:8" ht="15" customHeight="1">
      <c r="B628" s="250" t="s">
        <v>1222</v>
      </c>
      <c r="C628" s="251">
        <v>0.39500000000000002</v>
      </c>
      <c r="D628" s="251">
        <v>0.41899999999999998</v>
      </c>
      <c r="E628" s="251">
        <v>0.40100000000000002</v>
      </c>
      <c r="F628" s="251">
        <v>0.42399999999999999</v>
      </c>
      <c r="G628" s="251">
        <v>0.20599999999999999</v>
      </c>
      <c r="H628" s="251">
        <v>0.20499999999999999</v>
      </c>
    </row>
    <row r="629" spans="2:8" ht="15" customHeight="1">
      <c r="B629" s="106" t="s">
        <v>1223</v>
      </c>
      <c r="C629" s="246">
        <v>0.40400000000000003</v>
      </c>
      <c r="D629" s="246">
        <v>0.43099999999999999</v>
      </c>
      <c r="E629" s="246">
        <v>0.39900000000000002</v>
      </c>
      <c r="F629" s="246">
        <v>0.44500000000000001</v>
      </c>
      <c r="G629" s="246">
        <v>0.19</v>
      </c>
      <c r="H629" s="246">
        <v>0.19900000000000001</v>
      </c>
    </row>
    <row r="630" spans="2:8" ht="15" customHeight="1">
      <c r="B630" s="106" t="s">
        <v>1224</v>
      </c>
      <c r="C630" s="246">
        <v>0.378</v>
      </c>
      <c r="D630" s="246">
        <v>0.39900000000000002</v>
      </c>
      <c r="E630" s="246">
        <v>0.40400000000000003</v>
      </c>
      <c r="F630" s="246">
        <v>0.39200000000000002</v>
      </c>
      <c r="G630" s="246">
        <v>0.22900000000000001</v>
      </c>
      <c r="H630" s="246">
        <v>0.21299999999999999</v>
      </c>
    </row>
    <row r="631" spans="2:8" ht="15" customHeight="1">
      <c r="B631" s="50" t="s">
        <v>431</v>
      </c>
    </row>
    <row r="633" spans="2:8" ht="15" customHeight="1">
      <c r="B633" s="88" t="s">
        <v>162</v>
      </c>
    </row>
    <row r="634" spans="2:8" ht="15" customHeight="1">
      <c r="B634" s="138" t="s">
        <v>1199</v>
      </c>
      <c r="C634" s="139">
        <v>2017</v>
      </c>
      <c r="D634" s="139">
        <v>2018</v>
      </c>
      <c r="E634" s="139">
        <v>2019</v>
      </c>
      <c r="F634" s="138" t="s">
        <v>335</v>
      </c>
      <c r="G634" s="138" t="s">
        <v>256</v>
      </c>
      <c r="H634" s="138" t="s">
        <v>257</v>
      </c>
    </row>
    <row r="635" spans="2:8" ht="15" customHeight="1">
      <c r="B635" s="240" t="s">
        <v>1126</v>
      </c>
      <c r="C635" s="241">
        <v>88</v>
      </c>
      <c r="D635" s="241">
        <v>79</v>
      </c>
      <c r="E635" s="241">
        <v>82</v>
      </c>
      <c r="F635" s="241">
        <v>84</v>
      </c>
      <c r="G635" s="241">
        <v>92</v>
      </c>
      <c r="H635" s="241">
        <v>113</v>
      </c>
    </row>
    <row r="636" spans="2:8" ht="15" customHeight="1">
      <c r="B636" s="240" t="s">
        <v>1127</v>
      </c>
      <c r="C636" s="241">
        <v>65</v>
      </c>
      <c r="D636" s="241">
        <v>63</v>
      </c>
      <c r="E636" s="241">
        <v>60</v>
      </c>
      <c r="F636" s="241">
        <v>59</v>
      </c>
      <c r="G636" s="241">
        <v>57</v>
      </c>
      <c r="H636" s="241">
        <v>62</v>
      </c>
    </row>
    <row r="637" spans="2:8" ht="15" customHeight="1">
      <c r="B637" s="240" t="s">
        <v>1128</v>
      </c>
      <c r="C637" s="241">
        <v>43</v>
      </c>
      <c r="D637" s="241">
        <v>44</v>
      </c>
      <c r="E637" s="241">
        <v>45</v>
      </c>
      <c r="F637" s="241">
        <v>33</v>
      </c>
      <c r="G637" s="241">
        <v>34</v>
      </c>
      <c r="H637" s="241">
        <v>30</v>
      </c>
    </row>
    <row r="638" spans="2:8" ht="15" customHeight="1">
      <c r="B638" s="240" t="s">
        <v>1129</v>
      </c>
      <c r="C638" s="241">
        <v>61</v>
      </c>
      <c r="D638" s="241">
        <v>68</v>
      </c>
      <c r="E638" s="241">
        <v>61</v>
      </c>
      <c r="F638" s="241">
        <v>71</v>
      </c>
      <c r="G638" s="241">
        <v>65</v>
      </c>
      <c r="H638" s="241">
        <v>80</v>
      </c>
    </row>
    <row r="639" spans="2:8" ht="15" customHeight="1">
      <c r="B639" s="240" t="s">
        <v>1130</v>
      </c>
      <c r="C639" s="241">
        <v>27</v>
      </c>
      <c r="D639" s="241">
        <v>38</v>
      </c>
      <c r="E639" s="241">
        <v>34</v>
      </c>
      <c r="F639" s="241">
        <v>37</v>
      </c>
      <c r="G639" s="241">
        <v>24</v>
      </c>
      <c r="H639" s="241">
        <v>24</v>
      </c>
    </row>
    <row r="640" spans="2:8" ht="15" customHeight="1">
      <c r="B640" s="156" t="s">
        <v>724</v>
      </c>
    </row>
    <row r="642" spans="2:10" ht="15" customHeight="1">
      <c r="B642" s="88" t="s">
        <v>163</v>
      </c>
    </row>
    <row r="643" spans="2:10" ht="15" customHeight="1">
      <c r="B643" s="345" t="s">
        <v>1225</v>
      </c>
      <c r="C643" s="688" t="s">
        <v>1226</v>
      </c>
      <c r="D643" s="688" t="s">
        <v>1227</v>
      </c>
      <c r="E643" s="688" t="s">
        <v>1228</v>
      </c>
      <c r="F643" s="688" t="s">
        <v>1173</v>
      </c>
      <c r="G643" s="688" t="s">
        <v>1174</v>
      </c>
      <c r="H643" s="689" t="s">
        <v>1175</v>
      </c>
    </row>
    <row r="644" spans="2:10" ht="15" customHeight="1">
      <c r="B644" s="348" t="s">
        <v>1229</v>
      </c>
      <c r="C644" s="690" t="s">
        <v>1230</v>
      </c>
      <c r="D644" s="690" t="s">
        <v>1231</v>
      </c>
      <c r="E644" s="690" t="s">
        <v>1232</v>
      </c>
      <c r="F644" s="690" t="s">
        <v>1233</v>
      </c>
      <c r="G644" s="690" t="s">
        <v>1234</v>
      </c>
      <c r="H644" s="691">
        <v>1.62</v>
      </c>
    </row>
    <row r="645" spans="2:10" ht="15" customHeight="1">
      <c r="B645" s="348" t="s">
        <v>1235</v>
      </c>
      <c r="C645" s="690" t="s">
        <v>1236</v>
      </c>
      <c r="D645" s="690" t="s">
        <v>1237</v>
      </c>
      <c r="E645" s="690" t="s">
        <v>1238</v>
      </c>
      <c r="F645" s="690" t="s">
        <v>1239</v>
      </c>
      <c r="G645" s="690" t="s">
        <v>1240</v>
      </c>
      <c r="H645" s="691">
        <v>1.1499999999999999</v>
      </c>
      <c r="J645" s="17" t="s">
        <v>704</v>
      </c>
    </row>
    <row r="646" spans="2:10" ht="15" customHeight="1">
      <c r="B646" s="348" t="s">
        <v>1241</v>
      </c>
      <c r="C646" s="690" t="s">
        <v>1242</v>
      </c>
      <c r="D646" s="690" t="s">
        <v>1237</v>
      </c>
      <c r="E646" s="690" t="s">
        <v>1237</v>
      </c>
      <c r="F646" s="690" t="s">
        <v>1242</v>
      </c>
      <c r="G646" s="690" t="s">
        <v>1243</v>
      </c>
      <c r="H646" s="691">
        <v>1.39</v>
      </c>
    </row>
    <row r="647" spans="2:10" ht="15" customHeight="1">
      <c r="B647" s="348" t="s">
        <v>1244</v>
      </c>
      <c r="C647" s="553">
        <v>0</v>
      </c>
      <c r="D647" s="690" t="s">
        <v>1236</v>
      </c>
      <c r="E647" s="690" t="s">
        <v>1236</v>
      </c>
      <c r="F647" s="690" t="s">
        <v>1242</v>
      </c>
      <c r="G647" s="690" t="s">
        <v>1236</v>
      </c>
      <c r="H647" s="691">
        <v>1.01</v>
      </c>
    </row>
    <row r="648" spans="2:10" ht="15" customHeight="1">
      <c r="B648" s="348" t="s">
        <v>1245</v>
      </c>
      <c r="C648" s="553">
        <v>0</v>
      </c>
      <c r="D648" s="690" t="s">
        <v>1240</v>
      </c>
      <c r="E648" s="690" t="s">
        <v>1246</v>
      </c>
      <c r="F648" s="690" t="s">
        <v>1247</v>
      </c>
      <c r="G648" s="690" t="s">
        <v>1236</v>
      </c>
      <c r="H648" s="691">
        <v>1.01</v>
      </c>
    </row>
    <row r="649" spans="2:10" ht="15" customHeight="1">
      <c r="B649" s="348" t="s">
        <v>1248</v>
      </c>
      <c r="C649" s="690" t="s">
        <v>1249</v>
      </c>
      <c r="D649" s="690" t="s">
        <v>1250</v>
      </c>
      <c r="E649" s="690" t="s">
        <v>1251</v>
      </c>
      <c r="F649" s="690" t="s">
        <v>1252</v>
      </c>
      <c r="G649" s="690" t="s">
        <v>1253</v>
      </c>
      <c r="H649" s="691">
        <v>0.76</v>
      </c>
    </row>
    <row r="650" spans="2:10" ht="15" customHeight="1">
      <c r="B650" s="349" t="s">
        <v>1254</v>
      </c>
      <c r="C650" s="692" t="s">
        <v>1255</v>
      </c>
      <c r="D650" s="692" t="s">
        <v>1256</v>
      </c>
      <c r="E650" s="692" t="s">
        <v>1257</v>
      </c>
      <c r="F650" s="692" t="s">
        <v>1258</v>
      </c>
      <c r="G650" s="692" t="s">
        <v>1259</v>
      </c>
      <c r="H650" s="693">
        <v>0.98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14"/>
  <sheetViews>
    <sheetView showGridLines="0" topLeftCell="C1" workbookViewId="0">
      <selection activeCell="E163" sqref="E163"/>
    </sheetView>
  </sheetViews>
  <sheetFormatPr defaultRowHeight="14.5"/>
  <cols>
    <col min="2" max="2" width="67.1796875" customWidth="1"/>
    <col min="3" max="3" width="10.54296875" customWidth="1"/>
    <col min="4" max="4" width="10.81640625" customWidth="1"/>
    <col min="5" max="5" width="10.1796875" customWidth="1"/>
    <col min="6" max="6" width="10.7265625" customWidth="1"/>
    <col min="7" max="7" width="11.26953125" customWidth="1"/>
    <col min="8" max="8" width="11.36328125" customWidth="1"/>
  </cols>
  <sheetData>
    <row r="2" spans="2:8" ht="15.5">
      <c r="B2" s="3" t="s">
        <v>164</v>
      </c>
      <c r="C2" s="3"/>
    </row>
    <row r="3" spans="2:8" ht="15.5">
      <c r="B3" s="16"/>
      <c r="C3" s="3"/>
    </row>
    <row r="4" spans="2:8" ht="15.5">
      <c r="B4" s="25" t="s">
        <v>165</v>
      </c>
      <c r="C4" s="6"/>
    </row>
    <row r="5" spans="2:8" ht="15.5">
      <c r="B5" s="7" t="s">
        <v>314</v>
      </c>
    </row>
    <row r="6" spans="2:8" ht="15.5">
      <c r="B6" s="88" t="s">
        <v>1260</v>
      </c>
    </row>
    <row r="7" spans="2:8" ht="15.5">
      <c r="B7" s="77" t="s">
        <v>1261</v>
      </c>
      <c r="C7" s="71">
        <v>2017</v>
      </c>
      <c r="D7" s="71">
        <v>2018</v>
      </c>
      <c r="E7" s="71">
        <v>2019</v>
      </c>
      <c r="F7" s="71" t="s">
        <v>335</v>
      </c>
      <c r="G7" s="254" t="s">
        <v>256</v>
      </c>
      <c r="H7" s="254" t="s">
        <v>257</v>
      </c>
    </row>
    <row r="8" spans="2:8" ht="31">
      <c r="B8" s="104" t="s">
        <v>1262</v>
      </c>
      <c r="C8" s="97">
        <v>1649</v>
      </c>
      <c r="D8" s="97">
        <v>1796</v>
      </c>
      <c r="E8" s="97">
        <v>1852</v>
      </c>
      <c r="F8" s="97">
        <v>1929</v>
      </c>
      <c r="G8" s="97">
        <v>2286</v>
      </c>
      <c r="H8" s="97">
        <v>2021</v>
      </c>
    </row>
    <row r="9" spans="2:8" ht="15.5">
      <c r="B9" s="255" t="s">
        <v>258</v>
      </c>
      <c r="C9" s="132">
        <v>160</v>
      </c>
      <c r="D9" s="132">
        <v>228</v>
      </c>
      <c r="E9" s="132">
        <v>278</v>
      </c>
      <c r="F9" s="132">
        <v>426</v>
      </c>
      <c r="G9" s="35">
        <v>1677</v>
      </c>
      <c r="H9" s="35">
        <v>1575</v>
      </c>
    </row>
    <row r="10" spans="2:8" ht="15.5">
      <c r="B10" s="255" t="s">
        <v>259</v>
      </c>
      <c r="C10" s="128">
        <v>1267</v>
      </c>
      <c r="D10" s="128">
        <v>1612</v>
      </c>
      <c r="E10" s="128">
        <v>1718</v>
      </c>
      <c r="F10" s="128">
        <v>1710</v>
      </c>
      <c r="G10" s="35">
        <v>1790</v>
      </c>
      <c r="H10" s="35">
        <v>1622</v>
      </c>
    </row>
    <row r="11" spans="2:8" ht="15.5">
      <c r="B11" s="255" t="s">
        <v>1263</v>
      </c>
      <c r="C11" s="132">
        <v>854</v>
      </c>
      <c r="D11" s="132">
        <v>886</v>
      </c>
      <c r="E11" s="132">
        <v>951</v>
      </c>
      <c r="F11" s="128">
        <v>1116</v>
      </c>
      <c r="G11" s="35">
        <v>1201</v>
      </c>
      <c r="H11" s="35">
        <v>1076</v>
      </c>
    </row>
    <row r="12" spans="2:8" ht="15.5">
      <c r="B12" s="255" t="s">
        <v>1264</v>
      </c>
      <c r="C12" s="132">
        <v>90</v>
      </c>
      <c r="D12" s="132">
        <v>232</v>
      </c>
      <c r="E12" s="132">
        <v>236</v>
      </c>
      <c r="F12" s="132">
        <v>240</v>
      </c>
      <c r="G12" s="32">
        <v>250</v>
      </c>
      <c r="H12" s="32">
        <v>226</v>
      </c>
    </row>
    <row r="13" spans="2:8" ht="31">
      <c r="B13" s="104" t="s">
        <v>1265</v>
      </c>
      <c r="C13" s="97">
        <v>3070</v>
      </c>
      <c r="D13" s="97">
        <v>2776</v>
      </c>
      <c r="E13" s="97">
        <v>2854</v>
      </c>
      <c r="F13" s="97">
        <v>3215</v>
      </c>
      <c r="G13" s="97">
        <v>2556</v>
      </c>
      <c r="H13" s="97">
        <v>2902</v>
      </c>
    </row>
    <row r="14" spans="2:8" ht="15.5">
      <c r="B14" s="255" t="s">
        <v>258</v>
      </c>
      <c r="C14" s="128">
        <v>3026</v>
      </c>
      <c r="D14" s="128">
        <v>2982</v>
      </c>
      <c r="E14" s="128">
        <v>3123</v>
      </c>
      <c r="F14" s="128">
        <v>3315</v>
      </c>
      <c r="G14" s="35">
        <v>2131</v>
      </c>
      <c r="H14" s="35">
        <v>2476</v>
      </c>
    </row>
    <row r="15" spans="2:8" ht="15.5">
      <c r="B15" s="255" t="s">
        <v>259</v>
      </c>
      <c r="C15" s="128">
        <v>1610</v>
      </c>
      <c r="D15" s="128">
        <v>1297</v>
      </c>
      <c r="E15" s="128">
        <v>1243</v>
      </c>
      <c r="F15" s="128">
        <v>1981</v>
      </c>
      <c r="G15" s="35">
        <v>2041</v>
      </c>
      <c r="H15" s="35">
        <v>2310</v>
      </c>
    </row>
    <row r="16" spans="2:8" ht="15.5">
      <c r="B16" s="255" t="s">
        <v>1263</v>
      </c>
      <c r="C16" s="132">
        <v>713</v>
      </c>
      <c r="D16" s="132">
        <v>530</v>
      </c>
      <c r="E16" s="132">
        <v>501</v>
      </c>
      <c r="F16" s="132">
        <v>753</v>
      </c>
      <c r="G16" s="32">
        <v>754</v>
      </c>
      <c r="H16" s="32">
        <v>901</v>
      </c>
    </row>
    <row r="17" spans="2:8" ht="15.5">
      <c r="B17" s="255" t="s">
        <v>1264</v>
      </c>
      <c r="C17" s="132">
        <v>295</v>
      </c>
      <c r="D17" s="132">
        <v>118</v>
      </c>
      <c r="E17" s="132">
        <v>95</v>
      </c>
      <c r="F17" s="132">
        <v>104</v>
      </c>
      <c r="G17" s="32">
        <v>172</v>
      </c>
      <c r="H17" s="32">
        <v>244</v>
      </c>
    </row>
    <row r="18" spans="2:8" ht="15.5">
      <c r="B18" s="256" t="s">
        <v>1266</v>
      </c>
      <c r="C18" s="208">
        <v>0.34899999999999998</v>
      </c>
      <c r="D18" s="208">
        <v>0.39300000000000002</v>
      </c>
      <c r="E18" s="208">
        <v>0.39300000000000002</v>
      </c>
      <c r="F18" s="208">
        <v>0.375</v>
      </c>
      <c r="G18" s="208">
        <v>0.47199999999999998</v>
      </c>
      <c r="H18" s="208">
        <v>0.41099999999999998</v>
      </c>
    </row>
    <row r="19" spans="2:8" ht="15.5">
      <c r="B19" s="257" t="s">
        <v>258</v>
      </c>
      <c r="C19" s="118">
        <v>0.05</v>
      </c>
      <c r="D19" s="118">
        <v>7.0999999999999994E-2</v>
      </c>
      <c r="E19" s="118">
        <v>8.2000000000000003E-2</v>
      </c>
      <c r="F19" s="118">
        <v>0.114</v>
      </c>
      <c r="G19" s="110">
        <v>0.44</v>
      </c>
      <c r="H19" s="110">
        <v>0.38900000000000001</v>
      </c>
    </row>
    <row r="20" spans="2:8" ht="15.5">
      <c r="B20" s="257" t="s">
        <v>259</v>
      </c>
      <c r="C20" s="118">
        <v>0.44</v>
      </c>
      <c r="D20" s="118">
        <v>0.55400000000000005</v>
      </c>
      <c r="E20" s="118">
        <v>0.57999999999999996</v>
      </c>
      <c r="F20" s="118">
        <v>0.46300000000000002</v>
      </c>
      <c r="G20" s="110">
        <v>0.46700000000000003</v>
      </c>
      <c r="H20" s="110">
        <v>0.41299999999999998</v>
      </c>
    </row>
    <row r="21" spans="2:8" ht="15.5">
      <c r="B21" s="257" t="s">
        <v>1263</v>
      </c>
      <c r="C21" s="118">
        <v>0.54500000000000004</v>
      </c>
      <c r="D21" s="118">
        <v>0.626</v>
      </c>
      <c r="E21" s="118">
        <v>0.65500000000000003</v>
      </c>
      <c r="F21" s="118">
        <v>0.59699999999999998</v>
      </c>
      <c r="G21" s="110">
        <v>0.60499999999999998</v>
      </c>
      <c r="H21" s="110">
        <v>0.54400000000000004</v>
      </c>
    </row>
    <row r="22" spans="2:8" ht="15.5">
      <c r="B22" s="257" t="s">
        <v>1264</v>
      </c>
      <c r="C22" s="118">
        <v>0.23400000000000001</v>
      </c>
      <c r="D22" s="118">
        <v>0.66300000000000003</v>
      </c>
      <c r="E22" s="118">
        <v>0.71299999999999997</v>
      </c>
      <c r="F22" s="118">
        <v>0.69799999999999995</v>
      </c>
      <c r="G22" s="110">
        <v>0.59199999999999997</v>
      </c>
      <c r="H22" s="110">
        <v>0.48099999999999998</v>
      </c>
    </row>
    <row r="23" spans="2:8">
      <c r="B23" s="50" t="s">
        <v>431</v>
      </c>
    </row>
    <row r="24" spans="2:8" ht="15.5">
      <c r="B24" s="7" t="s">
        <v>314</v>
      </c>
    </row>
    <row r="25" spans="2:8" ht="15.5">
      <c r="B25" s="25" t="s">
        <v>167</v>
      </c>
    </row>
    <row r="26" spans="2:8" ht="15.5">
      <c r="B26" s="5"/>
      <c r="C26" s="6"/>
    </row>
    <row r="27" spans="2:8" ht="15.5">
      <c r="B27" s="6" t="s">
        <v>168</v>
      </c>
    </row>
    <row r="28" spans="2:8" ht="15.5">
      <c r="B28" s="95" t="s">
        <v>1261</v>
      </c>
      <c r="C28" s="71" t="s">
        <v>335</v>
      </c>
      <c r="D28" s="254" t="s">
        <v>256</v>
      </c>
      <c r="E28" s="254" t="s">
        <v>257</v>
      </c>
    </row>
    <row r="29" spans="2:8" ht="15.5">
      <c r="B29" s="96" t="s">
        <v>1267</v>
      </c>
      <c r="C29" s="107">
        <v>957</v>
      </c>
      <c r="D29" s="97">
        <v>1120</v>
      </c>
      <c r="E29" s="97">
        <v>1081</v>
      </c>
    </row>
    <row r="30" spans="2:8" ht="15.5">
      <c r="B30" s="207" t="s">
        <v>259</v>
      </c>
      <c r="C30" s="132">
        <v>373</v>
      </c>
      <c r="D30" s="32">
        <v>777</v>
      </c>
      <c r="E30" s="32">
        <v>767</v>
      </c>
    </row>
    <row r="31" spans="2:8" ht="15.5">
      <c r="B31" s="207" t="s">
        <v>1263</v>
      </c>
      <c r="C31" s="132">
        <v>831</v>
      </c>
      <c r="D31" s="32">
        <v>885</v>
      </c>
      <c r="E31" s="32">
        <v>854</v>
      </c>
    </row>
    <row r="32" spans="2:8" ht="15.5">
      <c r="B32" s="207" t="s">
        <v>1264</v>
      </c>
      <c r="C32" s="132">
        <v>123</v>
      </c>
      <c r="D32" s="32">
        <v>152</v>
      </c>
      <c r="E32" s="32">
        <v>157</v>
      </c>
    </row>
    <row r="33" spans="2:5" ht="15.5">
      <c r="B33" s="96" t="s">
        <v>1268</v>
      </c>
      <c r="C33" s="97">
        <v>3359</v>
      </c>
      <c r="D33" s="97">
        <v>3722</v>
      </c>
      <c r="E33" s="97">
        <v>3842</v>
      </c>
    </row>
    <row r="34" spans="2:5" ht="15.5">
      <c r="B34" s="207" t="s">
        <v>259</v>
      </c>
      <c r="C34" s="128">
        <v>3318</v>
      </c>
      <c r="D34" s="35">
        <v>3054</v>
      </c>
      <c r="E34" s="35">
        <v>3165</v>
      </c>
    </row>
    <row r="35" spans="2:5" ht="15.5">
      <c r="B35" s="207" t="s">
        <v>1263</v>
      </c>
      <c r="C35" s="128">
        <v>1038</v>
      </c>
      <c r="D35" s="35">
        <v>1070</v>
      </c>
      <c r="E35" s="35">
        <v>1123</v>
      </c>
    </row>
    <row r="36" spans="2:5" ht="15.5">
      <c r="B36" s="207" t="s">
        <v>1264</v>
      </c>
      <c r="C36" s="132">
        <v>221</v>
      </c>
      <c r="D36" s="32">
        <v>270</v>
      </c>
      <c r="E36" s="32">
        <v>313</v>
      </c>
    </row>
    <row r="37" spans="2:5" ht="15.5">
      <c r="B37" s="96" t="s">
        <v>1269</v>
      </c>
      <c r="C37" s="208">
        <v>0.222</v>
      </c>
      <c r="D37" s="258">
        <v>0.23100000000000001</v>
      </c>
      <c r="E37" s="258">
        <v>0.22</v>
      </c>
    </row>
    <row r="38" spans="2:5" ht="15.5">
      <c r="B38" s="207" t="s">
        <v>1270</v>
      </c>
      <c r="C38" s="118">
        <v>0.10100000000000001</v>
      </c>
      <c r="D38" s="110">
        <v>0.20300000000000001</v>
      </c>
      <c r="E38" s="110">
        <v>0.19500000000000001</v>
      </c>
    </row>
    <row r="39" spans="2:5" ht="15.5">
      <c r="B39" s="207" t="s">
        <v>1271</v>
      </c>
      <c r="C39" s="118">
        <v>0.44500000000000001</v>
      </c>
      <c r="D39" s="110">
        <v>0.45300000000000001</v>
      </c>
      <c r="E39" s="110">
        <v>0.432</v>
      </c>
    </row>
    <row r="40" spans="2:5" ht="15.5">
      <c r="B40" s="207" t="s">
        <v>1272</v>
      </c>
      <c r="C40" s="118">
        <v>0.35799999999999998</v>
      </c>
      <c r="D40" s="110">
        <v>0.36</v>
      </c>
      <c r="E40" s="110">
        <v>0.33400000000000002</v>
      </c>
    </row>
    <row r="41" spans="2:5">
      <c r="B41" s="11" t="s">
        <v>1273</v>
      </c>
    </row>
    <row r="43" spans="2:5" ht="15.5">
      <c r="B43" s="6" t="s">
        <v>169</v>
      </c>
    </row>
    <row r="44" spans="2:5" ht="15.5">
      <c r="B44" s="95" t="s">
        <v>1261</v>
      </c>
      <c r="C44" s="71" t="s">
        <v>335</v>
      </c>
      <c r="D44" s="71" t="s">
        <v>256</v>
      </c>
      <c r="E44" s="71" t="s">
        <v>257</v>
      </c>
    </row>
    <row r="45" spans="2:5" ht="15.5">
      <c r="B45" s="96" t="s">
        <v>1274</v>
      </c>
      <c r="C45" s="97">
        <v>1004</v>
      </c>
      <c r="D45" s="97">
        <v>1302</v>
      </c>
      <c r="E45" s="97">
        <v>1373</v>
      </c>
    </row>
    <row r="46" spans="2:5" ht="15.5">
      <c r="B46" s="207" t="s">
        <v>259</v>
      </c>
      <c r="C46" s="132">
        <v>337</v>
      </c>
      <c r="D46" s="32">
        <v>824</v>
      </c>
      <c r="E46" s="32">
        <v>875</v>
      </c>
    </row>
    <row r="47" spans="2:5" ht="15.5">
      <c r="B47" s="207" t="s">
        <v>1263</v>
      </c>
      <c r="C47" s="132">
        <v>433</v>
      </c>
      <c r="D47" s="32">
        <v>778</v>
      </c>
      <c r="E47" s="32">
        <v>815</v>
      </c>
    </row>
    <row r="48" spans="2:5" ht="15.5">
      <c r="B48" s="207" t="s">
        <v>1264</v>
      </c>
      <c r="C48" s="132">
        <v>239</v>
      </c>
      <c r="D48" s="32">
        <v>297</v>
      </c>
      <c r="E48" s="32">
        <v>325</v>
      </c>
    </row>
    <row r="49" spans="2:8" ht="15.5">
      <c r="B49" s="96" t="s">
        <v>1275</v>
      </c>
      <c r="C49" s="97">
        <v>3312</v>
      </c>
      <c r="D49" s="97">
        <v>3540</v>
      </c>
      <c r="E49" s="97">
        <v>3550</v>
      </c>
    </row>
    <row r="50" spans="2:8" ht="15.5">
      <c r="B50" s="207" t="s">
        <v>259</v>
      </c>
      <c r="C50" s="128">
        <v>3354</v>
      </c>
      <c r="D50" s="35">
        <v>3007</v>
      </c>
      <c r="E50" s="35">
        <v>3057</v>
      </c>
    </row>
    <row r="51" spans="2:8" ht="15.5">
      <c r="B51" s="207" t="s">
        <v>1263</v>
      </c>
      <c r="C51" s="128">
        <v>1436</v>
      </c>
      <c r="D51" s="35">
        <v>1177</v>
      </c>
      <c r="E51" s="35">
        <v>1162</v>
      </c>
    </row>
    <row r="52" spans="2:8" ht="15.5">
      <c r="B52" s="207" t="s">
        <v>1264</v>
      </c>
      <c r="C52" s="132">
        <v>105</v>
      </c>
      <c r="D52" s="32">
        <v>125</v>
      </c>
      <c r="E52" s="32">
        <v>145</v>
      </c>
    </row>
    <row r="53" spans="2:8" ht="15.5">
      <c r="B53" s="96" t="s">
        <v>1276</v>
      </c>
      <c r="C53" s="208">
        <v>0.23300000000000001</v>
      </c>
      <c r="D53" s="188">
        <v>0.26900000000000002</v>
      </c>
      <c r="E53" s="188">
        <v>0.27900000000000003</v>
      </c>
    </row>
    <row r="54" spans="2:8" ht="15.5">
      <c r="B54" s="207" t="s">
        <v>1270</v>
      </c>
      <c r="C54" s="118">
        <v>9.0999999999999998E-2</v>
      </c>
      <c r="D54" s="169">
        <v>0.215</v>
      </c>
      <c r="E54" s="169">
        <v>0.223</v>
      </c>
    </row>
    <row r="55" spans="2:8" ht="15.5">
      <c r="B55" s="207" t="s">
        <v>1271</v>
      </c>
      <c r="C55" s="118">
        <v>0.23200000000000001</v>
      </c>
      <c r="D55" s="169">
        <v>0.39800000000000002</v>
      </c>
      <c r="E55" s="169">
        <v>0.41199999999999998</v>
      </c>
    </row>
    <row r="56" spans="2:8" ht="15.5">
      <c r="B56" s="207" t="s">
        <v>1272</v>
      </c>
      <c r="C56" s="118">
        <v>0.69499999999999995</v>
      </c>
      <c r="D56" s="169">
        <v>0.70399999999999996</v>
      </c>
      <c r="E56" s="169">
        <v>0.69099999999999995</v>
      </c>
    </row>
    <row r="57" spans="2:8">
      <c r="B57" s="11" t="s">
        <v>1277</v>
      </c>
    </row>
    <row r="59" spans="2:8" ht="15.5">
      <c r="B59" s="6" t="s">
        <v>170</v>
      </c>
    </row>
    <row r="60" spans="2:8" ht="15.5">
      <c r="B60" s="95" t="s">
        <v>945</v>
      </c>
      <c r="C60" s="71">
        <v>2017</v>
      </c>
      <c r="D60" s="71">
        <v>2018</v>
      </c>
      <c r="E60" s="71">
        <v>2019</v>
      </c>
      <c r="F60" s="71" t="s">
        <v>335</v>
      </c>
      <c r="G60" s="71" t="s">
        <v>256</v>
      </c>
      <c r="H60" s="71" t="s">
        <v>257</v>
      </c>
    </row>
    <row r="61" spans="2:8" ht="15.5">
      <c r="B61" s="190" t="s">
        <v>1278</v>
      </c>
      <c r="C61" s="218">
        <v>338</v>
      </c>
      <c r="D61" s="218">
        <v>338</v>
      </c>
      <c r="E61" s="218">
        <v>455</v>
      </c>
      <c r="F61" s="218">
        <v>329</v>
      </c>
      <c r="G61" s="218">
        <v>189</v>
      </c>
      <c r="H61" s="218">
        <v>248</v>
      </c>
    </row>
    <row r="62" spans="2:8" ht="15.5">
      <c r="B62" s="207" t="s">
        <v>1279</v>
      </c>
      <c r="C62" s="118">
        <v>0.216</v>
      </c>
      <c r="D62" s="118">
        <v>0.216</v>
      </c>
      <c r="E62" s="118">
        <v>0.255</v>
      </c>
      <c r="F62" s="118">
        <v>0.14899999999999999</v>
      </c>
      <c r="G62" s="169">
        <v>8.5999999999999993E-2</v>
      </c>
      <c r="H62" s="169">
        <v>0.111</v>
      </c>
    </row>
    <row r="63" spans="2:8" ht="15.5">
      <c r="B63" s="259" t="s">
        <v>1280</v>
      </c>
      <c r="C63" s="34">
        <v>1229</v>
      </c>
      <c r="D63" s="34">
        <v>1390</v>
      </c>
      <c r="E63" s="34">
        <v>1328</v>
      </c>
      <c r="F63" s="34">
        <v>1884</v>
      </c>
      <c r="G63" s="36">
        <v>2003</v>
      </c>
      <c r="H63" s="36">
        <v>1980</v>
      </c>
    </row>
    <row r="64" spans="2:8" ht="15.5">
      <c r="B64" s="207" t="s">
        <v>1281</v>
      </c>
      <c r="C64" s="118">
        <v>0.78400000000000003</v>
      </c>
      <c r="D64" s="118">
        <v>0.80400000000000005</v>
      </c>
      <c r="E64" s="118">
        <v>0.745</v>
      </c>
      <c r="F64" s="118">
        <v>0.85099999999999998</v>
      </c>
      <c r="G64" s="169">
        <v>0.91400000000000003</v>
      </c>
      <c r="H64" s="169">
        <v>0.88900000000000001</v>
      </c>
    </row>
    <row r="65" spans="2:8">
      <c r="B65" s="11" t="s">
        <v>1277</v>
      </c>
    </row>
    <row r="67" spans="2:8" ht="15.5">
      <c r="B67" s="6" t="s">
        <v>171</v>
      </c>
    </row>
    <row r="68" spans="2:8" ht="15.5">
      <c r="B68" s="95" t="s">
        <v>1261</v>
      </c>
      <c r="C68" s="71">
        <v>2017</v>
      </c>
      <c r="D68" s="71">
        <v>2018</v>
      </c>
      <c r="E68" s="71">
        <v>2019</v>
      </c>
      <c r="F68" s="71" t="s">
        <v>335</v>
      </c>
      <c r="G68" s="71" t="s">
        <v>256</v>
      </c>
      <c r="H68" s="71" t="s">
        <v>257</v>
      </c>
    </row>
    <row r="69" spans="2:8" ht="15.5">
      <c r="B69" s="96" t="s">
        <v>1282</v>
      </c>
      <c r="C69" s="97">
        <v>1009</v>
      </c>
      <c r="D69" s="97">
        <v>1702</v>
      </c>
      <c r="E69" s="97">
        <v>2019</v>
      </c>
      <c r="F69" s="97">
        <v>2093</v>
      </c>
      <c r="G69" s="97">
        <v>2743</v>
      </c>
      <c r="H69" s="97">
        <v>2929</v>
      </c>
    </row>
    <row r="70" spans="2:8" ht="15.5">
      <c r="B70" s="207" t="s">
        <v>258</v>
      </c>
      <c r="C70" s="132">
        <v>135</v>
      </c>
      <c r="D70" s="132">
        <v>276</v>
      </c>
      <c r="E70" s="132">
        <v>302</v>
      </c>
      <c r="F70" s="132">
        <v>471</v>
      </c>
      <c r="G70" s="35">
        <v>1997</v>
      </c>
      <c r="H70" s="35">
        <v>2226</v>
      </c>
    </row>
    <row r="71" spans="2:8" ht="15.5">
      <c r="B71" s="207" t="s">
        <v>259</v>
      </c>
      <c r="C71" s="132">
        <v>723</v>
      </c>
      <c r="D71" s="132">
        <v>873</v>
      </c>
      <c r="E71" s="128">
        <v>1029</v>
      </c>
      <c r="F71" s="128">
        <v>1173</v>
      </c>
      <c r="G71" s="35">
        <v>2071</v>
      </c>
      <c r="H71" s="35">
        <v>2223</v>
      </c>
    </row>
    <row r="72" spans="2:8" ht="15.5">
      <c r="B72" s="207" t="s">
        <v>1263</v>
      </c>
      <c r="C72" s="132">
        <v>571</v>
      </c>
      <c r="D72" s="132">
        <v>701</v>
      </c>
      <c r="E72" s="132">
        <v>862</v>
      </c>
      <c r="F72" s="132">
        <v>947</v>
      </c>
      <c r="G72" s="35">
        <v>1432</v>
      </c>
      <c r="H72" s="35">
        <v>1489</v>
      </c>
    </row>
    <row r="73" spans="2:8" ht="15.5">
      <c r="B73" s="207" t="s">
        <v>1264</v>
      </c>
      <c r="C73" s="132">
        <v>76</v>
      </c>
      <c r="D73" s="132">
        <v>213</v>
      </c>
      <c r="E73" s="132">
        <v>227</v>
      </c>
      <c r="F73" s="132">
        <v>233</v>
      </c>
      <c r="G73" s="32">
        <v>328</v>
      </c>
      <c r="H73" s="32">
        <v>382</v>
      </c>
    </row>
    <row r="74" spans="2:8" ht="15.5">
      <c r="B74" s="96" t="s">
        <v>1283</v>
      </c>
      <c r="C74" s="97">
        <v>3710</v>
      </c>
      <c r="D74" s="97">
        <v>2869</v>
      </c>
      <c r="E74" s="97">
        <v>2687</v>
      </c>
      <c r="F74" s="97">
        <v>3051</v>
      </c>
      <c r="G74" s="97">
        <v>2099</v>
      </c>
      <c r="H74" s="97">
        <v>1994</v>
      </c>
    </row>
    <row r="75" spans="2:8" ht="15.5">
      <c r="B75" s="207" t="s">
        <v>258</v>
      </c>
      <c r="C75" s="128">
        <v>3051</v>
      </c>
      <c r="D75" s="128">
        <v>2934</v>
      </c>
      <c r="E75" s="128">
        <v>3099</v>
      </c>
      <c r="F75" s="128">
        <v>3270</v>
      </c>
      <c r="G75" s="35">
        <v>1811</v>
      </c>
      <c r="H75" s="35">
        <v>1825</v>
      </c>
    </row>
    <row r="76" spans="2:8" ht="15.5">
      <c r="B76" s="207" t="s">
        <v>259</v>
      </c>
      <c r="C76" s="128">
        <v>2154</v>
      </c>
      <c r="D76" s="128">
        <v>2036</v>
      </c>
      <c r="E76" s="128">
        <v>1932</v>
      </c>
      <c r="F76" s="128">
        <v>2518</v>
      </c>
      <c r="G76" s="35">
        <v>1760</v>
      </c>
      <c r="H76" s="35">
        <v>1709</v>
      </c>
    </row>
    <row r="77" spans="2:8" ht="15.5">
      <c r="B77" s="207" t="s">
        <v>1263</v>
      </c>
      <c r="C77" s="132">
        <v>996</v>
      </c>
      <c r="D77" s="132">
        <v>715</v>
      </c>
      <c r="E77" s="132">
        <v>590</v>
      </c>
      <c r="F77" s="132">
        <v>922</v>
      </c>
      <c r="G77" s="32">
        <v>523</v>
      </c>
      <c r="H77" s="32">
        <v>488</v>
      </c>
    </row>
    <row r="78" spans="2:8" ht="15.5">
      <c r="B78" s="207" t="s">
        <v>1264</v>
      </c>
      <c r="C78" s="132">
        <v>309</v>
      </c>
      <c r="D78" s="132">
        <v>137</v>
      </c>
      <c r="E78" s="132">
        <v>104</v>
      </c>
      <c r="F78" s="132">
        <v>111</v>
      </c>
      <c r="G78" s="32">
        <v>94</v>
      </c>
      <c r="H78" s="32">
        <v>88</v>
      </c>
    </row>
    <row r="79" spans="2:8" ht="15.5">
      <c r="B79" s="219" t="s">
        <v>1284</v>
      </c>
      <c r="C79" s="208">
        <v>0.214</v>
      </c>
      <c r="D79" s="208">
        <v>0.372</v>
      </c>
      <c r="E79" s="208">
        <v>0.42899999999999999</v>
      </c>
      <c r="F79" s="208">
        <v>0.40699999999999997</v>
      </c>
      <c r="G79" s="208">
        <v>0.56699999999999995</v>
      </c>
      <c r="H79" s="208">
        <v>0.59499999999999997</v>
      </c>
    </row>
    <row r="80" spans="2:8" ht="15.5">
      <c r="B80" s="235" t="s">
        <v>1285</v>
      </c>
      <c r="C80" s="118">
        <v>4.2000000000000003E-2</v>
      </c>
      <c r="D80" s="118">
        <v>8.5999999999999993E-2</v>
      </c>
      <c r="E80" s="118">
        <v>8.8999999999999996E-2</v>
      </c>
      <c r="F80" s="118">
        <v>0.126</v>
      </c>
      <c r="G80" s="110">
        <v>0.52400000000000002</v>
      </c>
      <c r="H80" s="110">
        <v>0.54900000000000004</v>
      </c>
    </row>
    <row r="81" spans="2:8" ht="15.5">
      <c r="B81" s="235" t="s">
        <v>1286</v>
      </c>
      <c r="C81" s="118">
        <v>0.251</v>
      </c>
      <c r="D81" s="118">
        <v>0.3</v>
      </c>
      <c r="E81" s="118">
        <v>0.34799999999999998</v>
      </c>
      <c r="F81" s="118">
        <v>0.318</v>
      </c>
      <c r="G81" s="110">
        <v>0.54100000000000004</v>
      </c>
      <c r="H81" s="110">
        <v>0.56499999999999995</v>
      </c>
    </row>
    <row r="82" spans="2:8" ht="15.5">
      <c r="B82" s="235" t="s">
        <v>1271</v>
      </c>
      <c r="C82" s="118">
        <v>0.36399999999999999</v>
      </c>
      <c r="D82" s="118">
        <v>0.495</v>
      </c>
      <c r="E82" s="118">
        <v>0.59399999999999997</v>
      </c>
      <c r="F82" s="118">
        <v>0.50700000000000001</v>
      </c>
      <c r="G82" s="110">
        <v>0.73199999999999998</v>
      </c>
      <c r="H82" s="110">
        <v>0.753</v>
      </c>
    </row>
    <row r="83" spans="2:8" ht="15.5">
      <c r="B83" s="235" t="s">
        <v>1272</v>
      </c>
      <c r="C83" s="118">
        <v>0.19700000000000001</v>
      </c>
      <c r="D83" s="118">
        <v>0.60899999999999999</v>
      </c>
      <c r="E83" s="118">
        <v>0.68600000000000005</v>
      </c>
      <c r="F83" s="118">
        <v>0.67700000000000005</v>
      </c>
      <c r="G83" s="110">
        <v>0.77700000000000002</v>
      </c>
      <c r="H83" s="110">
        <v>0.81299999999999994</v>
      </c>
    </row>
    <row r="84" spans="2:8">
      <c r="B84" s="11" t="s">
        <v>1277</v>
      </c>
    </row>
    <row r="85" spans="2:8">
      <c r="B85" s="11"/>
    </row>
    <row r="86" spans="2:8" ht="15.5">
      <c r="B86" s="25" t="s">
        <v>172</v>
      </c>
    </row>
    <row r="87" spans="2:8" ht="15.5">
      <c r="B87" s="7" t="s">
        <v>314</v>
      </c>
    </row>
    <row r="88" spans="2:8" ht="15.5">
      <c r="B88" s="6" t="s">
        <v>173</v>
      </c>
    </row>
    <row r="89" spans="2:8">
      <c r="B89" s="41" t="s">
        <v>1261</v>
      </c>
      <c r="C89" s="42">
        <v>2017</v>
      </c>
      <c r="D89" s="42">
        <v>2018</v>
      </c>
      <c r="E89" s="42">
        <v>2019</v>
      </c>
      <c r="F89" s="42" t="s">
        <v>335</v>
      </c>
      <c r="G89" s="42" t="s">
        <v>256</v>
      </c>
      <c r="H89" s="42" t="s">
        <v>257</v>
      </c>
    </row>
    <row r="90" spans="2:8">
      <c r="B90" s="43" t="s">
        <v>1287</v>
      </c>
      <c r="C90" s="44">
        <v>1504</v>
      </c>
      <c r="D90" s="44">
        <v>1710</v>
      </c>
      <c r="E90" s="44">
        <v>2024</v>
      </c>
      <c r="F90" s="44">
        <v>1820</v>
      </c>
      <c r="G90" s="44">
        <v>3224</v>
      </c>
      <c r="H90" s="44">
        <v>3396</v>
      </c>
    </row>
    <row r="91" spans="2:8">
      <c r="B91" s="185" t="s">
        <v>258</v>
      </c>
      <c r="C91" s="184">
        <v>648</v>
      </c>
      <c r="D91" s="184">
        <v>652</v>
      </c>
      <c r="E91" s="184">
        <v>664</v>
      </c>
      <c r="F91" s="184">
        <v>674</v>
      </c>
      <c r="G91" s="45">
        <v>2582</v>
      </c>
      <c r="H91" s="45">
        <v>2847</v>
      </c>
    </row>
    <row r="92" spans="2:8">
      <c r="B92" s="185" t="s">
        <v>259</v>
      </c>
      <c r="C92" s="164">
        <v>1065</v>
      </c>
      <c r="D92" s="164">
        <v>1065</v>
      </c>
      <c r="E92" s="164">
        <v>1147</v>
      </c>
      <c r="F92" s="164">
        <v>1634</v>
      </c>
      <c r="G92" s="45">
        <v>2683</v>
      </c>
      <c r="H92" s="45">
        <v>2832</v>
      </c>
    </row>
    <row r="93" spans="2:8">
      <c r="B93" s="185" t="s">
        <v>1263</v>
      </c>
      <c r="C93" s="164">
        <v>1018</v>
      </c>
      <c r="D93" s="164">
        <v>1034</v>
      </c>
      <c r="E93" s="164">
        <v>1358</v>
      </c>
      <c r="F93" s="164">
        <v>1046</v>
      </c>
      <c r="G93" s="45">
        <v>1571</v>
      </c>
      <c r="H93" s="45">
        <v>1628</v>
      </c>
    </row>
    <row r="94" spans="2:8">
      <c r="B94" s="185" t="s">
        <v>1264</v>
      </c>
      <c r="C94" s="184">
        <v>20</v>
      </c>
      <c r="D94" s="184">
        <v>69</v>
      </c>
      <c r="E94" s="184">
        <v>67</v>
      </c>
      <c r="F94" s="184">
        <v>80</v>
      </c>
      <c r="G94" s="46">
        <v>219</v>
      </c>
      <c r="H94" s="46">
        <v>259</v>
      </c>
    </row>
    <row r="95" spans="2:8">
      <c r="B95" s="43" t="s">
        <v>1288</v>
      </c>
      <c r="C95" s="44">
        <v>3215</v>
      </c>
      <c r="D95" s="44">
        <v>2861</v>
      </c>
      <c r="E95" s="44">
        <v>2682</v>
      </c>
      <c r="F95" s="44">
        <v>3324</v>
      </c>
      <c r="G95" s="44">
        <v>1618</v>
      </c>
      <c r="H95" s="44">
        <v>1527</v>
      </c>
    </row>
    <row r="96" spans="2:8">
      <c r="B96" s="185" t="s">
        <v>258</v>
      </c>
      <c r="C96" s="164">
        <v>2538</v>
      </c>
      <c r="D96" s="164">
        <v>2558</v>
      </c>
      <c r="E96" s="164">
        <v>2737</v>
      </c>
      <c r="F96" s="164">
        <v>3067</v>
      </c>
      <c r="G96" s="45">
        <v>1226</v>
      </c>
      <c r="H96" s="45">
        <v>1204</v>
      </c>
    </row>
    <row r="97" spans="2:8">
      <c r="B97" s="185" t="s">
        <v>259</v>
      </c>
      <c r="C97" s="164">
        <v>1812</v>
      </c>
      <c r="D97" s="164">
        <v>1844</v>
      </c>
      <c r="E97" s="164">
        <v>1814</v>
      </c>
      <c r="F97" s="164">
        <v>2057</v>
      </c>
      <c r="G97" s="45">
        <v>1148</v>
      </c>
      <c r="H97" s="45">
        <v>1100</v>
      </c>
    </row>
    <row r="98" spans="2:8">
      <c r="B98" s="185" t="s">
        <v>1263</v>
      </c>
      <c r="C98" s="184">
        <v>549</v>
      </c>
      <c r="D98" s="184">
        <v>382</v>
      </c>
      <c r="E98" s="184">
        <v>94</v>
      </c>
      <c r="F98" s="184">
        <v>823</v>
      </c>
      <c r="G98" s="46">
        <v>384</v>
      </c>
      <c r="H98" s="46">
        <v>349</v>
      </c>
    </row>
    <row r="99" spans="2:8">
      <c r="B99" s="185" t="s">
        <v>1264</v>
      </c>
      <c r="C99" s="184">
        <v>365</v>
      </c>
      <c r="D99" s="184">
        <v>281</v>
      </c>
      <c r="E99" s="184">
        <v>264</v>
      </c>
      <c r="F99" s="184">
        <v>264</v>
      </c>
      <c r="G99" s="46">
        <v>203</v>
      </c>
      <c r="H99" s="46">
        <v>211</v>
      </c>
    </row>
    <row r="100" spans="2:8">
      <c r="B100" s="43" t="s">
        <v>1289</v>
      </c>
      <c r="C100" s="260">
        <v>0.31900000000000001</v>
      </c>
      <c r="D100" s="260">
        <v>0.374</v>
      </c>
      <c r="E100" s="260">
        <v>0.43</v>
      </c>
      <c r="F100" s="260">
        <v>0.35399999999999998</v>
      </c>
      <c r="G100" s="260">
        <v>0.66600000000000004</v>
      </c>
      <c r="H100" s="260">
        <v>0.69</v>
      </c>
    </row>
    <row r="101" spans="2:8">
      <c r="B101" s="185" t="s">
        <v>258</v>
      </c>
      <c r="C101" s="261">
        <v>0.20300000000000001</v>
      </c>
      <c r="D101" s="261">
        <v>0.20300000000000001</v>
      </c>
      <c r="E101" s="261">
        <v>0.19500000000000001</v>
      </c>
      <c r="F101" s="261">
        <v>0.18</v>
      </c>
      <c r="G101" s="168">
        <v>0.67800000000000005</v>
      </c>
      <c r="H101" s="168">
        <v>0.70299999999999996</v>
      </c>
    </row>
    <row r="102" spans="2:8">
      <c r="B102" s="185" t="s">
        <v>259</v>
      </c>
      <c r="C102" s="261">
        <v>0.37</v>
      </c>
      <c r="D102" s="261">
        <v>0.36599999999999999</v>
      </c>
      <c r="E102" s="261">
        <v>0.38700000000000001</v>
      </c>
      <c r="F102" s="261">
        <v>0.443</v>
      </c>
      <c r="G102" s="168">
        <v>0.7</v>
      </c>
      <c r="H102" s="168">
        <v>0.72</v>
      </c>
    </row>
    <row r="103" spans="2:8">
      <c r="B103" s="185" t="s">
        <v>1263</v>
      </c>
      <c r="C103" s="261">
        <v>0.65</v>
      </c>
      <c r="D103" s="261">
        <v>0.73</v>
      </c>
      <c r="E103" s="261">
        <v>0.93500000000000005</v>
      </c>
      <c r="F103" s="261">
        <v>0.56000000000000005</v>
      </c>
      <c r="G103" s="168">
        <v>0.80400000000000005</v>
      </c>
      <c r="H103" s="168">
        <v>0.82299999999999995</v>
      </c>
    </row>
    <row r="104" spans="2:8">
      <c r="B104" s="185" t="s">
        <v>1264</v>
      </c>
      <c r="C104" s="261">
        <v>5.1999999999999998E-2</v>
      </c>
      <c r="D104" s="261">
        <v>0.19700000000000001</v>
      </c>
      <c r="E104" s="261">
        <v>0.20200000000000001</v>
      </c>
      <c r="F104" s="261">
        <v>0.23300000000000001</v>
      </c>
      <c r="G104" s="168">
        <v>0.51900000000000002</v>
      </c>
      <c r="H104" s="168">
        <v>0.55100000000000005</v>
      </c>
    </row>
    <row r="105" spans="2:8">
      <c r="B105" s="11" t="s">
        <v>1277</v>
      </c>
    </row>
    <row r="107" spans="2:8" ht="15.5">
      <c r="B107" s="27" t="s">
        <v>174</v>
      </c>
    </row>
    <row r="108" spans="2:8">
      <c r="B108" s="41" t="s">
        <v>1261</v>
      </c>
      <c r="C108" s="42" t="s">
        <v>335</v>
      </c>
      <c r="D108" s="42" t="s">
        <v>256</v>
      </c>
      <c r="E108" s="42" t="s">
        <v>257</v>
      </c>
    </row>
    <row r="109" spans="2:8">
      <c r="B109" s="43" t="s">
        <v>1290</v>
      </c>
      <c r="C109" s="44">
        <v>1034</v>
      </c>
      <c r="D109" s="44">
        <v>1088</v>
      </c>
      <c r="E109" s="44">
        <v>1097</v>
      </c>
    </row>
    <row r="110" spans="2:8">
      <c r="B110" s="185" t="s">
        <v>259</v>
      </c>
      <c r="C110" s="184">
        <v>612</v>
      </c>
      <c r="D110" s="184">
        <v>754</v>
      </c>
      <c r="E110" s="184">
        <v>790</v>
      </c>
    </row>
    <row r="111" spans="2:8">
      <c r="B111" s="185" t="s">
        <v>1263</v>
      </c>
      <c r="C111" s="164">
        <v>1029</v>
      </c>
      <c r="D111" s="164">
        <v>1042</v>
      </c>
      <c r="E111" s="164">
        <v>872</v>
      </c>
    </row>
    <row r="112" spans="2:8">
      <c r="B112" s="185" t="s">
        <v>1264</v>
      </c>
      <c r="C112" s="184">
        <v>246</v>
      </c>
      <c r="D112" s="184">
        <v>252</v>
      </c>
      <c r="E112" s="184">
        <v>167</v>
      </c>
    </row>
    <row r="113" spans="2:5">
      <c r="B113" s="43" t="s">
        <v>1291</v>
      </c>
      <c r="C113" s="44">
        <v>4110</v>
      </c>
      <c r="D113" s="44">
        <v>3754</v>
      </c>
      <c r="E113" s="44">
        <v>3826</v>
      </c>
    </row>
    <row r="114" spans="2:5">
      <c r="B114" s="185" t="s">
        <v>259</v>
      </c>
      <c r="C114" s="164">
        <v>3079</v>
      </c>
      <c r="D114" s="164">
        <v>3077</v>
      </c>
      <c r="E114" s="164">
        <v>3142</v>
      </c>
    </row>
    <row r="115" spans="2:5">
      <c r="B115" s="185" t="s">
        <v>1263</v>
      </c>
      <c r="C115" s="184">
        <v>840</v>
      </c>
      <c r="D115" s="184">
        <v>916</v>
      </c>
      <c r="E115" s="184">
        <v>1105</v>
      </c>
    </row>
    <row r="116" spans="2:5">
      <c r="B116" s="185" t="s">
        <v>1264</v>
      </c>
      <c r="C116" s="184">
        <v>98</v>
      </c>
      <c r="D116" s="184">
        <v>170</v>
      </c>
      <c r="E116" s="184">
        <v>303</v>
      </c>
    </row>
    <row r="117" spans="2:5">
      <c r="B117" s="43" t="s">
        <v>1292</v>
      </c>
      <c r="C117" s="260">
        <v>0.20100000000000001</v>
      </c>
      <c r="D117" s="260">
        <v>0.22500000000000001</v>
      </c>
      <c r="E117" s="260">
        <v>0.223</v>
      </c>
    </row>
    <row r="118" spans="2:5">
      <c r="B118" s="185" t="s">
        <v>1270</v>
      </c>
      <c r="C118" s="261">
        <v>0.16600000000000001</v>
      </c>
      <c r="D118" s="261">
        <v>0.19700000000000001</v>
      </c>
      <c r="E118" s="261">
        <v>0.20100000000000001</v>
      </c>
    </row>
    <row r="119" spans="2:5">
      <c r="B119" s="185" t="s">
        <v>1271</v>
      </c>
      <c r="C119" s="261">
        <v>0.55100000000000005</v>
      </c>
      <c r="D119" s="261">
        <v>0.53200000000000003</v>
      </c>
      <c r="E119" s="261">
        <v>0.441</v>
      </c>
    </row>
    <row r="120" spans="2:5">
      <c r="B120" s="185" t="s">
        <v>1272</v>
      </c>
      <c r="C120" s="261">
        <v>0.71499999999999997</v>
      </c>
      <c r="D120" s="261">
        <v>0.59699999999999998</v>
      </c>
      <c r="E120" s="261">
        <v>0.35499999999999998</v>
      </c>
    </row>
    <row r="121" spans="2:5">
      <c r="B121" s="11" t="s">
        <v>1277</v>
      </c>
    </row>
    <row r="122" spans="2:5" ht="15.5">
      <c r="B122" s="7" t="s">
        <v>314</v>
      </c>
    </row>
    <row r="123" spans="2:5" ht="15.5">
      <c r="B123" s="27" t="s">
        <v>1293</v>
      </c>
    </row>
    <row r="124" spans="2:5" ht="15.5">
      <c r="B124" s="95" t="s">
        <v>1261</v>
      </c>
      <c r="C124" s="71" t="s">
        <v>335</v>
      </c>
      <c r="D124" s="42" t="s">
        <v>256</v>
      </c>
      <c r="E124" s="42" t="s">
        <v>257</v>
      </c>
    </row>
    <row r="125" spans="2:5" ht="15.5">
      <c r="B125" s="96" t="s">
        <v>1294</v>
      </c>
      <c r="C125" s="107">
        <v>416</v>
      </c>
      <c r="D125" s="187">
        <v>472</v>
      </c>
      <c r="E125" s="187">
        <v>494</v>
      </c>
    </row>
    <row r="126" spans="2:5" ht="15.5">
      <c r="B126" s="207" t="s">
        <v>259</v>
      </c>
      <c r="C126" s="132">
        <v>203</v>
      </c>
      <c r="D126" s="46">
        <v>279</v>
      </c>
      <c r="E126" s="46">
        <v>322</v>
      </c>
    </row>
    <row r="127" spans="2:5" ht="15.5">
      <c r="B127" s="207" t="s">
        <v>1263</v>
      </c>
      <c r="C127" s="132">
        <v>245</v>
      </c>
      <c r="D127" s="46">
        <v>335</v>
      </c>
      <c r="E127" s="46">
        <v>347</v>
      </c>
    </row>
    <row r="128" spans="2:5" ht="15.5">
      <c r="B128" s="207" t="s">
        <v>1264</v>
      </c>
      <c r="C128" s="132">
        <v>105</v>
      </c>
      <c r="D128" s="216">
        <v>106</v>
      </c>
      <c r="E128" s="216">
        <v>103</v>
      </c>
    </row>
    <row r="129" spans="2:9" ht="15.5">
      <c r="B129" s="96" t="s">
        <v>1295</v>
      </c>
      <c r="C129" s="97">
        <v>3900</v>
      </c>
      <c r="D129" s="44">
        <v>4370</v>
      </c>
      <c r="E129" s="44">
        <v>4429</v>
      </c>
    </row>
    <row r="130" spans="2:9" ht="15.5">
      <c r="B130" s="207" t="s">
        <v>259</v>
      </c>
      <c r="C130" s="128">
        <v>3488</v>
      </c>
      <c r="D130" s="45">
        <v>3552</v>
      </c>
      <c r="E130" s="45">
        <v>3610</v>
      </c>
    </row>
    <row r="131" spans="2:9" ht="15.5">
      <c r="B131" s="207" t="s">
        <v>1263</v>
      </c>
      <c r="C131" s="128">
        <v>1624</v>
      </c>
      <c r="D131" s="45">
        <v>1620</v>
      </c>
      <c r="E131" s="45">
        <v>1630</v>
      </c>
    </row>
    <row r="132" spans="2:9" ht="15.5">
      <c r="B132" s="207" t="s">
        <v>1264</v>
      </c>
      <c r="C132" s="132">
        <v>239</v>
      </c>
      <c r="D132" s="46">
        <v>316</v>
      </c>
      <c r="E132" s="46">
        <v>367</v>
      </c>
    </row>
    <row r="133" spans="2:9" ht="15.5">
      <c r="B133" s="96" t="s">
        <v>1296</v>
      </c>
      <c r="C133" s="208">
        <v>9.6000000000000002E-2</v>
      </c>
      <c r="D133" s="260">
        <v>9.7000000000000003E-2</v>
      </c>
      <c r="E133" s="260">
        <v>0.1</v>
      </c>
    </row>
    <row r="134" spans="2:9" ht="15.5">
      <c r="B134" s="207" t="s">
        <v>1270</v>
      </c>
      <c r="C134" s="118">
        <v>5.5E-2</v>
      </c>
      <c r="D134" s="168">
        <v>7.2999999999999995E-2</v>
      </c>
      <c r="E134" s="168">
        <v>8.2000000000000003E-2</v>
      </c>
    </row>
    <row r="135" spans="2:9" ht="15.5">
      <c r="B135" s="207" t="s">
        <v>1271</v>
      </c>
      <c r="C135" s="118">
        <v>0.13100000000000001</v>
      </c>
      <c r="D135" s="168">
        <v>0.17100000000000001</v>
      </c>
      <c r="E135" s="168">
        <v>0.17599999999999999</v>
      </c>
    </row>
    <row r="136" spans="2:9" ht="15.5">
      <c r="B136" s="207" t="s">
        <v>1272</v>
      </c>
      <c r="C136" s="118">
        <v>0.30499999999999999</v>
      </c>
      <c r="D136" s="168">
        <v>0.251</v>
      </c>
      <c r="E136" s="168">
        <v>0.219</v>
      </c>
    </row>
    <row r="137" spans="2:9">
      <c r="B137" s="11" t="s">
        <v>1277</v>
      </c>
    </row>
    <row r="139" spans="2:9" ht="15.5">
      <c r="B139" s="25" t="s">
        <v>176</v>
      </c>
    </row>
    <row r="140" spans="2:9" ht="15.5">
      <c r="B140" s="5"/>
      <c r="C140" s="6"/>
    </row>
    <row r="141" spans="2:9" ht="15.5">
      <c r="B141" s="6" t="s">
        <v>177</v>
      </c>
    </row>
    <row r="142" spans="2:9">
      <c r="B142" s="229" t="s">
        <v>640</v>
      </c>
      <c r="C142" s="262">
        <v>2017</v>
      </c>
      <c r="D142" s="262">
        <v>2018</v>
      </c>
      <c r="E142" s="262">
        <v>2019</v>
      </c>
      <c r="F142" s="262" t="s">
        <v>335</v>
      </c>
      <c r="G142" s="262" t="s">
        <v>256</v>
      </c>
      <c r="H142" s="262" t="s">
        <v>257</v>
      </c>
    </row>
    <row r="143" spans="2:9">
      <c r="B143" s="263" t="s">
        <v>1297</v>
      </c>
      <c r="C143" s="264">
        <v>347506</v>
      </c>
      <c r="D143" s="264">
        <v>369266</v>
      </c>
      <c r="E143" s="264">
        <v>399148</v>
      </c>
      <c r="F143" s="264">
        <v>366253</v>
      </c>
      <c r="G143" s="264">
        <v>444015</v>
      </c>
      <c r="H143" s="264">
        <f>H144+H146+H145</f>
        <v>542535</v>
      </c>
      <c r="I143" t="s">
        <v>704</v>
      </c>
    </row>
    <row r="144" spans="2:9">
      <c r="B144" s="231" t="s">
        <v>1298</v>
      </c>
      <c r="C144" s="265">
        <v>324985</v>
      </c>
      <c r="D144" s="265">
        <v>346327</v>
      </c>
      <c r="E144" s="265">
        <v>372483</v>
      </c>
      <c r="F144" s="265">
        <v>334021</v>
      </c>
      <c r="G144" s="265">
        <v>406776</v>
      </c>
      <c r="H144" s="694">
        <v>474949</v>
      </c>
      <c r="I144" t="s">
        <v>704</v>
      </c>
    </row>
    <row r="145" spans="2:9">
      <c r="B145" s="231" t="s">
        <v>1299</v>
      </c>
      <c r="C145" s="265">
        <v>9172</v>
      </c>
      <c r="D145" s="265">
        <v>10032</v>
      </c>
      <c r="E145" s="265">
        <v>10832</v>
      </c>
      <c r="F145" s="265">
        <v>10157</v>
      </c>
      <c r="G145" s="265">
        <v>12648</v>
      </c>
      <c r="H145" s="695">
        <v>24010</v>
      </c>
      <c r="I145" t="s">
        <v>704</v>
      </c>
    </row>
    <row r="146" spans="2:9">
      <c r="B146" s="231" t="s">
        <v>1300</v>
      </c>
      <c r="C146" s="265">
        <v>13349</v>
      </c>
      <c r="D146" s="265">
        <v>12907</v>
      </c>
      <c r="E146" s="265">
        <v>15833</v>
      </c>
      <c r="F146" s="265">
        <v>22075</v>
      </c>
      <c r="G146" s="265">
        <v>24591</v>
      </c>
      <c r="H146" s="695">
        <v>43576</v>
      </c>
      <c r="I146" t="s">
        <v>704</v>
      </c>
    </row>
    <row r="147" spans="2:9">
      <c r="B147" s="11" t="s">
        <v>1277</v>
      </c>
    </row>
    <row r="149" spans="2:9" ht="15.5">
      <c r="B149" s="6" t="s">
        <v>178</v>
      </c>
    </row>
    <row r="150" spans="2:9" ht="15.5">
      <c r="B150" s="95" t="s">
        <v>611</v>
      </c>
      <c r="C150" s="71">
        <v>2017</v>
      </c>
      <c r="D150" s="71">
        <v>2018</v>
      </c>
      <c r="E150" s="71">
        <v>2019</v>
      </c>
      <c r="F150" s="71" t="s">
        <v>335</v>
      </c>
      <c r="G150" s="71" t="s">
        <v>256</v>
      </c>
      <c r="H150" s="71" t="s">
        <v>257</v>
      </c>
    </row>
    <row r="151" spans="2:9" ht="15.5">
      <c r="B151" s="96" t="s">
        <v>1301</v>
      </c>
      <c r="C151" s="97">
        <v>324985</v>
      </c>
      <c r="D151" s="97">
        <v>346327</v>
      </c>
      <c r="E151" s="97">
        <v>372483</v>
      </c>
      <c r="F151" s="97">
        <v>334021</v>
      </c>
      <c r="G151" s="97">
        <v>406776</v>
      </c>
      <c r="H151" s="97">
        <v>474949</v>
      </c>
    </row>
    <row r="152" spans="2:9" ht="15.5">
      <c r="B152" s="207" t="s">
        <v>1127</v>
      </c>
      <c r="C152" s="128">
        <v>234409</v>
      </c>
      <c r="D152" s="128">
        <v>243494</v>
      </c>
      <c r="E152" s="128">
        <v>247756</v>
      </c>
      <c r="F152" s="128">
        <v>217362</v>
      </c>
      <c r="G152" s="128">
        <v>276832</v>
      </c>
      <c r="H152" s="128">
        <v>342785</v>
      </c>
    </row>
    <row r="153" spans="2:9" ht="15.5">
      <c r="B153" s="207" t="s">
        <v>1302</v>
      </c>
      <c r="C153" s="128">
        <v>58282</v>
      </c>
      <c r="D153" s="128">
        <v>71587</v>
      </c>
      <c r="E153" s="128">
        <v>79649</v>
      </c>
      <c r="F153" s="128">
        <v>72862</v>
      </c>
      <c r="G153" s="128">
        <v>87367</v>
      </c>
      <c r="H153" s="128">
        <v>89729</v>
      </c>
    </row>
    <row r="154" spans="2:9" ht="15.5">
      <c r="B154" s="207" t="s">
        <v>1303</v>
      </c>
      <c r="C154" s="128">
        <v>8851</v>
      </c>
      <c r="D154" s="128">
        <v>8930</v>
      </c>
      <c r="E154" s="128">
        <v>9795</v>
      </c>
      <c r="F154" s="128">
        <v>9270</v>
      </c>
      <c r="G154" s="128">
        <v>11162</v>
      </c>
      <c r="H154" s="128">
        <v>11800</v>
      </c>
    </row>
    <row r="155" spans="2:9" ht="15.5">
      <c r="B155" s="207" t="s">
        <v>1304</v>
      </c>
      <c r="C155" s="128">
        <v>3726</v>
      </c>
      <c r="D155" s="128">
        <v>3374</v>
      </c>
      <c r="E155" s="128">
        <v>6014</v>
      </c>
      <c r="F155" s="128">
        <v>3700</v>
      </c>
      <c r="G155" s="128">
        <v>2632</v>
      </c>
      <c r="H155" s="128">
        <v>3631</v>
      </c>
    </row>
    <row r="156" spans="2:9" ht="15.5">
      <c r="B156" s="207" t="s">
        <v>1305</v>
      </c>
      <c r="C156" s="128">
        <v>19717</v>
      </c>
      <c r="D156" s="128">
        <v>18942</v>
      </c>
      <c r="E156" s="128">
        <v>29269</v>
      </c>
      <c r="F156" s="128">
        <v>30827</v>
      </c>
      <c r="G156" s="128">
        <v>27065</v>
      </c>
      <c r="H156" s="128">
        <v>27004</v>
      </c>
    </row>
    <row r="157" spans="2:9" ht="15.5">
      <c r="B157" s="259" t="s">
        <v>1306</v>
      </c>
      <c r="C157" s="36">
        <v>10</v>
      </c>
      <c r="D157" s="36">
        <v>9</v>
      </c>
      <c r="E157" s="36">
        <v>9</v>
      </c>
      <c r="F157" s="36">
        <v>11</v>
      </c>
      <c r="G157" s="36">
        <v>9</v>
      </c>
      <c r="H157" s="528">
        <v>6.8595301811352378</v>
      </c>
    </row>
    <row r="158" spans="2:9" ht="15.5">
      <c r="B158" s="207" t="s">
        <v>1127</v>
      </c>
      <c r="C158" s="132">
        <v>11</v>
      </c>
      <c r="D158" s="132">
        <v>10</v>
      </c>
      <c r="E158" s="132">
        <v>10</v>
      </c>
      <c r="F158" s="132">
        <v>13</v>
      </c>
      <c r="G158" s="132">
        <v>10</v>
      </c>
      <c r="H158" s="529">
        <v>8.280242717738524</v>
      </c>
    </row>
    <row r="159" spans="2:9" ht="15.5">
      <c r="B159" s="207" t="s">
        <v>1302</v>
      </c>
      <c r="C159" s="132">
        <v>9</v>
      </c>
      <c r="D159" s="132">
        <v>8</v>
      </c>
      <c r="E159" s="132">
        <v>8</v>
      </c>
      <c r="F159" s="132">
        <v>10</v>
      </c>
      <c r="G159" s="132">
        <v>8</v>
      </c>
      <c r="H159" s="529">
        <v>8.1355860424166107</v>
      </c>
    </row>
    <row r="160" spans="2:9" ht="15.5">
      <c r="B160" s="207" t="s">
        <v>1303</v>
      </c>
      <c r="C160" s="132">
        <v>9</v>
      </c>
      <c r="D160" s="132">
        <v>9</v>
      </c>
      <c r="E160" s="132">
        <v>8</v>
      </c>
      <c r="F160" s="132">
        <v>9</v>
      </c>
      <c r="G160" s="132">
        <v>7</v>
      </c>
      <c r="H160" s="529">
        <v>8.7735593220338988</v>
      </c>
    </row>
    <row r="161" spans="2:8" ht="15.5">
      <c r="B161" s="207" t="s">
        <v>1304</v>
      </c>
      <c r="C161" s="132">
        <v>3</v>
      </c>
      <c r="D161" s="132">
        <v>4</v>
      </c>
      <c r="E161" s="132">
        <v>2</v>
      </c>
      <c r="F161" s="132">
        <v>4</v>
      </c>
      <c r="G161" s="132">
        <v>5</v>
      </c>
      <c r="H161" s="529">
        <v>3.7419443679427156</v>
      </c>
    </row>
    <row r="162" spans="2:8" ht="15.5">
      <c r="B162" s="207" t="s">
        <v>1305</v>
      </c>
      <c r="C162" s="132">
        <v>4</v>
      </c>
      <c r="D162" s="132">
        <v>4</v>
      </c>
      <c r="E162" s="132">
        <v>2</v>
      </c>
      <c r="F162" s="132">
        <v>2</v>
      </c>
      <c r="G162" s="132">
        <v>3</v>
      </c>
      <c r="H162" s="529">
        <v>3.9301214634868908</v>
      </c>
    </row>
    <row r="163" spans="2:8">
      <c r="B163" s="11" t="s">
        <v>1277</v>
      </c>
    </row>
    <row r="164" spans="2:8" ht="15.5">
      <c r="B164" s="7" t="s">
        <v>314</v>
      </c>
    </row>
    <row r="165" spans="2:8" ht="15.5">
      <c r="B165" s="88" t="s">
        <v>1307</v>
      </c>
    </row>
    <row r="166" spans="2:8" ht="15.5">
      <c r="B166" s="77" t="s">
        <v>681</v>
      </c>
      <c r="C166" s="71">
        <v>2017</v>
      </c>
      <c r="D166" s="71">
        <v>2018</v>
      </c>
      <c r="E166" s="71">
        <v>2019</v>
      </c>
      <c r="F166" s="71" t="s">
        <v>335</v>
      </c>
      <c r="G166" s="71" t="s">
        <v>256</v>
      </c>
      <c r="H166" s="71" t="s">
        <v>257</v>
      </c>
    </row>
    <row r="167" spans="2:8" ht="15.5">
      <c r="B167" s="104" t="s">
        <v>1308</v>
      </c>
      <c r="C167" s="97">
        <v>13349</v>
      </c>
      <c r="D167" s="97">
        <v>12907</v>
      </c>
      <c r="E167" s="97">
        <v>15833</v>
      </c>
      <c r="F167" s="97">
        <v>22075</v>
      </c>
      <c r="G167" s="97">
        <v>24591</v>
      </c>
      <c r="H167" s="524">
        <v>43576</v>
      </c>
    </row>
    <row r="168" spans="2:8" ht="15.5">
      <c r="B168" s="255" t="s">
        <v>349</v>
      </c>
      <c r="C168" s="128">
        <v>4823</v>
      </c>
      <c r="D168" s="128">
        <v>2850</v>
      </c>
      <c r="E168" s="128">
        <v>3084</v>
      </c>
      <c r="F168" s="128">
        <v>4604</v>
      </c>
      <c r="G168" s="128">
        <v>4476</v>
      </c>
      <c r="H168" s="128">
        <v>16517</v>
      </c>
    </row>
    <row r="169" spans="2:8" ht="15.5">
      <c r="B169" s="255" t="s">
        <v>1309</v>
      </c>
      <c r="C169" s="128">
        <v>3174</v>
      </c>
      <c r="D169" s="128">
        <v>4347</v>
      </c>
      <c r="E169" s="128">
        <v>5429</v>
      </c>
      <c r="F169" s="128">
        <v>8500</v>
      </c>
      <c r="G169" s="128">
        <v>10923</v>
      </c>
      <c r="H169" s="128">
        <v>4184</v>
      </c>
    </row>
    <row r="170" spans="2:8" ht="15.5">
      <c r="B170" s="255" t="s">
        <v>1310</v>
      </c>
      <c r="C170" s="132">
        <v>228</v>
      </c>
      <c r="D170" s="132">
        <v>759</v>
      </c>
      <c r="E170" s="132">
        <v>881</v>
      </c>
      <c r="F170" s="128">
        <v>2040</v>
      </c>
      <c r="G170" s="128">
        <v>2925</v>
      </c>
      <c r="H170" s="128">
        <v>497</v>
      </c>
    </row>
    <row r="171" spans="2:8" ht="15.5">
      <c r="B171" s="255" t="s">
        <v>262</v>
      </c>
      <c r="C171" s="132">
        <v>505</v>
      </c>
      <c r="D171" s="132">
        <v>442</v>
      </c>
      <c r="E171" s="132">
        <v>637</v>
      </c>
      <c r="F171" s="132">
        <v>882</v>
      </c>
      <c r="G171" s="132">
        <v>305</v>
      </c>
      <c r="H171" s="132">
        <v>6007</v>
      </c>
    </row>
    <row r="172" spans="2:8" ht="15.5">
      <c r="B172" s="255" t="s">
        <v>263</v>
      </c>
      <c r="C172" s="128">
        <v>4619</v>
      </c>
      <c r="D172" s="128">
        <v>4509</v>
      </c>
      <c r="E172" s="128">
        <v>5802</v>
      </c>
      <c r="F172" s="128">
        <v>6049</v>
      </c>
      <c r="G172" s="128">
        <v>5962</v>
      </c>
      <c r="H172" s="128" t="s">
        <v>1311</v>
      </c>
    </row>
    <row r="173" spans="2:8" ht="15.5">
      <c r="B173" s="266" t="s">
        <v>1312</v>
      </c>
      <c r="C173" s="36">
        <v>5</v>
      </c>
      <c r="D173" s="36">
        <v>6</v>
      </c>
      <c r="E173" s="36">
        <v>5</v>
      </c>
      <c r="F173" s="36">
        <v>4</v>
      </c>
      <c r="G173" s="36">
        <v>4</v>
      </c>
      <c r="H173" s="36">
        <v>2</v>
      </c>
    </row>
    <row r="174" spans="2:8" ht="15.5">
      <c r="B174" s="255" t="s">
        <v>349</v>
      </c>
      <c r="C174" s="132">
        <v>9</v>
      </c>
      <c r="D174" s="132">
        <v>15</v>
      </c>
      <c r="E174" s="132">
        <v>14</v>
      </c>
      <c r="F174" s="132">
        <v>13</v>
      </c>
      <c r="G174" s="132">
        <v>14</v>
      </c>
      <c r="H174" s="132" t="s">
        <v>1313</v>
      </c>
    </row>
    <row r="175" spans="2:8" ht="15.5">
      <c r="B175" s="255" t="s">
        <v>1309</v>
      </c>
      <c r="C175" s="132">
        <v>7</v>
      </c>
      <c r="D175" s="132">
        <v>5</v>
      </c>
      <c r="E175" s="132">
        <v>4</v>
      </c>
      <c r="F175" s="132">
        <v>3</v>
      </c>
      <c r="G175" s="132">
        <v>2</v>
      </c>
      <c r="H175" s="132" t="s">
        <v>1314</v>
      </c>
    </row>
    <row r="176" spans="2:8" ht="15.5">
      <c r="B176" s="255" t="s">
        <v>1310</v>
      </c>
      <c r="C176" s="132">
        <v>6</v>
      </c>
      <c r="D176" s="132">
        <v>5</v>
      </c>
      <c r="E176" s="132">
        <v>4</v>
      </c>
      <c r="F176" s="132">
        <v>2</v>
      </c>
      <c r="G176" s="132">
        <v>1</v>
      </c>
      <c r="H176" s="132" t="s">
        <v>1315</v>
      </c>
    </row>
    <row r="177" spans="2:10" ht="15.5">
      <c r="B177" s="255" t="s">
        <v>262</v>
      </c>
      <c r="C177" s="132">
        <v>1</v>
      </c>
      <c r="D177" s="132">
        <v>7</v>
      </c>
      <c r="E177" s="132">
        <v>5</v>
      </c>
      <c r="F177" s="132">
        <v>1</v>
      </c>
      <c r="G177" s="132">
        <v>5</v>
      </c>
      <c r="H177" s="132" t="s">
        <v>1316</v>
      </c>
    </row>
    <row r="178" spans="2:10" ht="15.5">
      <c r="B178" s="255" t="s">
        <v>263</v>
      </c>
      <c r="C178" s="132">
        <v>1</v>
      </c>
      <c r="D178" s="132">
        <v>1</v>
      </c>
      <c r="E178" s="132">
        <v>1</v>
      </c>
      <c r="F178" s="132">
        <v>1</v>
      </c>
      <c r="G178" s="132">
        <v>1</v>
      </c>
      <c r="H178" s="132" t="s">
        <v>1315</v>
      </c>
    </row>
    <row r="179" spans="2:10">
      <c r="B179" s="11" t="s">
        <v>1277</v>
      </c>
    </row>
    <row r="180" spans="2:10" ht="15.5">
      <c r="B180" s="7" t="s">
        <v>314</v>
      </c>
    </row>
    <row r="181" spans="2:10" ht="15.5">
      <c r="B181" s="88" t="s">
        <v>1317</v>
      </c>
    </row>
    <row r="182" spans="2:10" ht="15.5">
      <c r="B182" s="95" t="s">
        <v>681</v>
      </c>
      <c r="C182" s="71">
        <v>2017</v>
      </c>
      <c r="D182" s="71">
        <v>2018</v>
      </c>
      <c r="E182" s="71">
        <v>2019</v>
      </c>
      <c r="F182" s="71" t="s">
        <v>335</v>
      </c>
      <c r="G182" s="71" t="s">
        <v>256</v>
      </c>
      <c r="H182" s="71" t="s">
        <v>257</v>
      </c>
    </row>
    <row r="183" spans="2:10" ht="15.5">
      <c r="B183" s="96" t="s">
        <v>1308</v>
      </c>
      <c r="C183" s="97">
        <v>9172</v>
      </c>
      <c r="D183" s="97">
        <v>10032</v>
      </c>
      <c r="E183" s="97">
        <v>10832</v>
      </c>
      <c r="F183" s="97">
        <v>10157</v>
      </c>
      <c r="G183" s="97">
        <v>12648</v>
      </c>
      <c r="H183" s="524">
        <v>24010</v>
      </c>
    </row>
    <row r="184" spans="2:10" ht="15.5">
      <c r="B184" s="207" t="s">
        <v>349</v>
      </c>
      <c r="C184" s="128">
        <v>3175</v>
      </c>
      <c r="D184" s="128">
        <v>3694</v>
      </c>
      <c r="E184" s="128">
        <v>3762</v>
      </c>
      <c r="F184" s="128">
        <v>3214</v>
      </c>
      <c r="G184" s="128">
        <v>3882</v>
      </c>
      <c r="H184" s="128">
        <v>11117</v>
      </c>
    </row>
    <row r="185" spans="2:10" ht="15.5">
      <c r="B185" s="207" t="s">
        <v>1309</v>
      </c>
      <c r="C185" s="128">
        <v>3320</v>
      </c>
      <c r="D185" s="128">
        <v>3227</v>
      </c>
      <c r="E185" s="128">
        <v>3546</v>
      </c>
      <c r="F185" s="128">
        <v>3943</v>
      </c>
      <c r="G185" s="128">
        <v>5100</v>
      </c>
      <c r="H185" s="128">
        <v>8492</v>
      </c>
    </row>
    <row r="186" spans="2:10" ht="15.5">
      <c r="B186" s="207" t="s">
        <v>1310</v>
      </c>
      <c r="C186" s="132">
        <v>463</v>
      </c>
      <c r="D186" s="128">
        <v>1013</v>
      </c>
      <c r="E186" s="132">
        <v>1036</v>
      </c>
      <c r="F186" s="132">
        <v>855</v>
      </c>
      <c r="G186" s="128">
        <v>1039</v>
      </c>
      <c r="H186" s="128">
        <v>1824</v>
      </c>
    </row>
    <row r="187" spans="2:10" ht="15.5">
      <c r="B187" s="207" t="s">
        <v>262</v>
      </c>
      <c r="C187" s="132">
        <v>347</v>
      </c>
      <c r="D187" s="132">
        <v>438</v>
      </c>
      <c r="E187" s="132">
        <v>517</v>
      </c>
      <c r="F187" s="132">
        <v>314</v>
      </c>
      <c r="G187" s="132">
        <v>561</v>
      </c>
      <c r="H187" s="132">
        <v>547</v>
      </c>
    </row>
    <row r="188" spans="2:10" ht="15.5">
      <c r="B188" s="207" t="s">
        <v>263</v>
      </c>
      <c r="C188" s="128">
        <v>1867</v>
      </c>
      <c r="D188" s="128">
        <v>1660</v>
      </c>
      <c r="E188" s="128">
        <v>1971</v>
      </c>
      <c r="F188" s="128">
        <v>1831</v>
      </c>
      <c r="G188" s="128">
        <v>2066</v>
      </c>
      <c r="H188" s="128">
        <v>2030</v>
      </c>
    </row>
    <row r="189" spans="2:10" ht="15.5">
      <c r="B189" s="259" t="s">
        <v>1318</v>
      </c>
      <c r="C189" s="36">
        <v>1</v>
      </c>
      <c r="D189" s="36">
        <v>1</v>
      </c>
      <c r="E189" s="36">
        <v>1</v>
      </c>
      <c r="F189" s="36">
        <v>1</v>
      </c>
      <c r="G189" s="36">
        <v>1</v>
      </c>
      <c r="H189" s="36" t="s">
        <v>1319</v>
      </c>
    </row>
    <row r="190" spans="2:10" ht="15.5">
      <c r="B190" s="207" t="s">
        <v>349</v>
      </c>
      <c r="C190" s="132">
        <v>1</v>
      </c>
      <c r="D190" s="132">
        <v>1</v>
      </c>
      <c r="E190" s="132">
        <v>1</v>
      </c>
      <c r="F190" s="132">
        <v>1</v>
      </c>
      <c r="G190" s="132">
        <v>1</v>
      </c>
      <c r="H190" s="132" t="s">
        <v>1315</v>
      </c>
      <c r="J190" t="s">
        <v>704</v>
      </c>
    </row>
    <row r="191" spans="2:10" ht="15.5">
      <c r="B191" s="207" t="s">
        <v>1309</v>
      </c>
      <c r="C191" s="132">
        <v>2</v>
      </c>
      <c r="D191" s="132">
        <v>2</v>
      </c>
      <c r="E191" s="132">
        <v>2</v>
      </c>
      <c r="F191" s="132">
        <v>2</v>
      </c>
      <c r="G191" s="132">
        <v>1</v>
      </c>
      <c r="H191" s="132" t="s">
        <v>1315</v>
      </c>
    </row>
    <row r="192" spans="2:10" ht="15.5">
      <c r="B192" s="207" t="s">
        <v>1310</v>
      </c>
      <c r="C192" s="132">
        <v>1</v>
      </c>
      <c r="D192" s="132">
        <v>1</v>
      </c>
      <c r="E192" s="132">
        <v>1</v>
      </c>
      <c r="F192" s="132">
        <v>2</v>
      </c>
      <c r="G192" s="132">
        <v>2</v>
      </c>
      <c r="H192" s="132" t="s">
        <v>1314</v>
      </c>
    </row>
    <row r="193" spans="2:8" ht="15.5">
      <c r="B193" s="207" t="s">
        <v>262</v>
      </c>
      <c r="C193" s="132">
        <v>1</v>
      </c>
      <c r="D193" s="132">
        <v>1</v>
      </c>
      <c r="E193" s="132">
        <v>1</v>
      </c>
      <c r="F193" s="132">
        <v>1</v>
      </c>
      <c r="G193" s="132">
        <v>1</v>
      </c>
      <c r="H193" s="132" t="s">
        <v>1315</v>
      </c>
    </row>
    <row r="194" spans="2:8" ht="15.5">
      <c r="B194" s="207" t="s">
        <v>263</v>
      </c>
      <c r="C194" s="132">
        <v>1</v>
      </c>
      <c r="D194" s="132">
        <v>1</v>
      </c>
      <c r="E194" s="132">
        <v>1</v>
      </c>
      <c r="F194" s="132">
        <v>1</v>
      </c>
      <c r="G194" s="132">
        <v>1</v>
      </c>
      <c r="H194" s="132" t="s">
        <v>1320</v>
      </c>
    </row>
    <row r="195" spans="2:8">
      <c r="B195" s="11" t="s">
        <v>1277</v>
      </c>
    </row>
    <row r="197" spans="2:8" ht="15.5">
      <c r="B197" s="88" t="s">
        <v>1321</v>
      </c>
    </row>
    <row r="198" spans="2:8" ht="15.5">
      <c r="B198" s="95" t="s">
        <v>1261</v>
      </c>
      <c r="C198" s="71">
        <v>2017</v>
      </c>
      <c r="D198" s="71">
        <v>2018</v>
      </c>
      <c r="E198" s="71">
        <v>2019</v>
      </c>
      <c r="F198" s="71" t="s">
        <v>335</v>
      </c>
      <c r="G198" s="71" t="s">
        <v>256</v>
      </c>
      <c r="H198" s="71" t="s">
        <v>257</v>
      </c>
    </row>
    <row r="199" spans="2:8" ht="15.5">
      <c r="B199" s="96" t="s">
        <v>1322</v>
      </c>
      <c r="C199" s="97">
        <v>2256</v>
      </c>
      <c r="D199" s="97">
        <v>2774</v>
      </c>
      <c r="E199" s="97">
        <v>3121</v>
      </c>
      <c r="F199" s="97">
        <v>3339</v>
      </c>
      <c r="G199" s="97">
        <v>4682</v>
      </c>
      <c r="H199" s="97">
        <v>4818</v>
      </c>
    </row>
    <row r="200" spans="2:8" ht="15.5">
      <c r="B200" s="207" t="s">
        <v>258</v>
      </c>
      <c r="C200" s="132">
        <v>303</v>
      </c>
      <c r="D200" s="132">
        <v>351</v>
      </c>
      <c r="E200" s="132">
        <v>454</v>
      </c>
      <c r="F200" s="132">
        <v>622</v>
      </c>
      <c r="G200" s="128">
        <v>3660</v>
      </c>
      <c r="H200" s="128">
        <v>3956</v>
      </c>
    </row>
    <row r="201" spans="2:8" ht="15.5">
      <c r="B201" s="207" t="s">
        <v>259</v>
      </c>
      <c r="C201" s="128">
        <v>1991</v>
      </c>
      <c r="D201" s="128">
        <v>2195</v>
      </c>
      <c r="E201" s="128">
        <v>2468</v>
      </c>
      <c r="F201" s="128">
        <v>2768</v>
      </c>
      <c r="G201" s="128">
        <v>3749</v>
      </c>
      <c r="H201" s="128">
        <v>3881</v>
      </c>
    </row>
    <row r="202" spans="2:8" ht="15.5">
      <c r="B202" s="207" t="s">
        <v>1263</v>
      </c>
      <c r="C202" s="128">
        <v>1185</v>
      </c>
      <c r="D202" s="128">
        <v>1207</v>
      </c>
      <c r="E202" s="128">
        <v>1250</v>
      </c>
      <c r="F202" s="128">
        <v>1549</v>
      </c>
      <c r="G202" s="128">
        <v>1951</v>
      </c>
      <c r="H202" s="128">
        <v>1971</v>
      </c>
    </row>
    <row r="203" spans="2:8" ht="15.5">
      <c r="B203" s="207" t="s">
        <v>1264</v>
      </c>
      <c r="C203" s="132">
        <v>142</v>
      </c>
      <c r="D203" s="132">
        <v>249</v>
      </c>
      <c r="E203" s="132">
        <v>273</v>
      </c>
      <c r="F203" s="132">
        <v>293</v>
      </c>
      <c r="G203" s="132">
        <v>420</v>
      </c>
      <c r="H203" s="132">
        <v>466</v>
      </c>
    </row>
    <row r="204" spans="2:8" ht="15.5">
      <c r="B204" s="96" t="s">
        <v>1323</v>
      </c>
      <c r="C204" s="97">
        <v>2463</v>
      </c>
      <c r="D204" s="97">
        <v>1797</v>
      </c>
      <c r="E204" s="97">
        <v>1585</v>
      </c>
      <c r="F204" s="97">
        <v>1805</v>
      </c>
      <c r="G204" s="107">
        <v>160</v>
      </c>
      <c r="H204" s="107">
        <v>105</v>
      </c>
    </row>
    <row r="205" spans="2:8" ht="15.5">
      <c r="B205" s="207" t="s">
        <v>258</v>
      </c>
      <c r="C205" s="128">
        <v>2883</v>
      </c>
      <c r="D205" s="128">
        <v>2859</v>
      </c>
      <c r="E205" s="128">
        <v>2947</v>
      </c>
      <c r="F205" s="128">
        <v>3119</v>
      </c>
      <c r="G205" s="132">
        <v>148</v>
      </c>
      <c r="H205" s="132">
        <v>95</v>
      </c>
    </row>
    <row r="206" spans="2:8" ht="15.5">
      <c r="B206" s="207" t="s">
        <v>259</v>
      </c>
      <c r="C206" s="132">
        <v>886</v>
      </c>
      <c r="D206" s="132">
        <v>714</v>
      </c>
      <c r="E206" s="132">
        <v>493</v>
      </c>
      <c r="F206" s="132">
        <v>923</v>
      </c>
      <c r="G206" s="132">
        <v>82</v>
      </c>
      <c r="H206" s="132">
        <v>51</v>
      </c>
    </row>
    <row r="207" spans="2:8" ht="15.5">
      <c r="B207" s="207" t="s">
        <v>1263</v>
      </c>
      <c r="C207" s="132">
        <v>382</v>
      </c>
      <c r="D207" s="132">
        <v>209</v>
      </c>
      <c r="E207" s="132">
        <v>202</v>
      </c>
      <c r="F207" s="132">
        <v>320</v>
      </c>
      <c r="G207" s="132">
        <v>7</v>
      </c>
      <c r="H207" s="132">
        <v>6</v>
      </c>
    </row>
    <row r="208" spans="2:8" ht="15.5">
      <c r="B208" s="207" t="s">
        <v>1264</v>
      </c>
      <c r="C208" s="132">
        <v>243</v>
      </c>
      <c r="D208" s="132">
        <v>101</v>
      </c>
      <c r="E208" s="132">
        <v>58</v>
      </c>
      <c r="F208" s="132">
        <v>51</v>
      </c>
      <c r="G208" s="132">
        <v>2</v>
      </c>
      <c r="H208" s="132">
        <v>4</v>
      </c>
    </row>
    <row r="209" spans="2:8" ht="15.5">
      <c r="B209" s="96" t="s">
        <v>1324</v>
      </c>
      <c r="C209" s="188">
        <v>0.47799999999999998</v>
      </c>
      <c r="D209" s="188">
        <v>0.60699999999999998</v>
      </c>
      <c r="E209" s="188">
        <v>0.66300000000000003</v>
      </c>
      <c r="F209" s="188">
        <v>0.64900000000000002</v>
      </c>
      <c r="G209" s="188">
        <v>0.96699999999999997</v>
      </c>
      <c r="H209" s="188">
        <v>0.97899999999999998</v>
      </c>
    </row>
    <row r="210" spans="2:8" ht="15.5">
      <c r="B210" s="207" t="s">
        <v>258</v>
      </c>
      <c r="C210" s="189">
        <v>9.5000000000000001E-2</v>
      </c>
      <c r="D210" s="189">
        <v>0.109</v>
      </c>
      <c r="E210" s="189">
        <v>0.13300000000000001</v>
      </c>
      <c r="F210" s="189">
        <v>0.16600000000000001</v>
      </c>
      <c r="G210" s="189">
        <v>0.96099999999999997</v>
      </c>
      <c r="H210" s="189">
        <v>0.97699999999999998</v>
      </c>
    </row>
    <row r="211" spans="2:8" ht="15.5">
      <c r="B211" s="207" t="s">
        <v>259</v>
      </c>
      <c r="C211" s="189">
        <v>0.69199999999999995</v>
      </c>
      <c r="D211" s="189">
        <v>0.755</v>
      </c>
      <c r="E211" s="189">
        <v>0.83399999999999996</v>
      </c>
      <c r="F211" s="189">
        <v>0.75</v>
      </c>
      <c r="G211" s="189">
        <v>0.97899999999999998</v>
      </c>
      <c r="H211" s="189">
        <v>0.98699999999999999</v>
      </c>
    </row>
    <row r="212" spans="2:8" ht="15.5">
      <c r="B212" s="207" t="s">
        <v>1263</v>
      </c>
      <c r="C212" s="189">
        <v>0.75600000000000001</v>
      </c>
      <c r="D212" s="189">
        <v>0.85199999999999998</v>
      </c>
      <c r="E212" s="189">
        <v>0.86099999999999999</v>
      </c>
      <c r="F212" s="189">
        <v>0.82899999999999996</v>
      </c>
      <c r="G212" s="189">
        <v>0.996</v>
      </c>
      <c r="H212" s="189">
        <v>0.997</v>
      </c>
    </row>
    <row r="213" spans="2:8" ht="15.5">
      <c r="B213" s="207" t="s">
        <v>1264</v>
      </c>
      <c r="C213" s="189">
        <v>0.36899999999999999</v>
      </c>
      <c r="D213" s="189">
        <v>0.71099999999999997</v>
      </c>
      <c r="E213" s="189">
        <v>0.82499999999999996</v>
      </c>
      <c r="F213" s="189">
        <v>0.85199999999999998</v>
      </c>
      <c r="G213" s="189">
        <v>0.995</v>
      </c>
      <c r="H213" s="189">
        <v>0.99099999999999999</v>
      </c>
    </row>
    <row r="214" spans="2:8" ht="15.5">
      <c r="B214" s="11" t="s">
        <v>1277</v>
      </c>
      <c r="C214" s="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50"/>
  <sheetViews>
    <sheetView showGridLines="0" topLeftCell="D1" workbookViewId="0">
      <selection activeCell="F17" sqref="F17"/>
    </sheetView>
  </sheetViews>
  <sheetFormatPr defaultRowHeight="14.5"/>
  <cols>
    <col min="2" max="2" width="37.453125" customWidth="1"/>
    <col min="3" max="3" width="15.26953125" customWidth="1"/>
    <col min="4" max="4" width="15.1796875" customWidth="1"/>
    <col min="5" max="5" width="15.54296875" customWidth="1"/>
    <col min="6" max="6" width="15.7265625" customWidth="1"/>
    <col min="7" max="7" width="13.26953125" customWidth="1"/>
  </cols>
  <sheetData>
    <row r="2" spans="2:7" ht="15.5">
      <c r="B2" s="3" t="s">
        <v>182</v>
      </c>
    </row>
    <row r="4" spans="2:7" ht="15.5">
      <c r="B4" s="25" t="s">
        <v>183</v>
      </c>
      <c r="C4" s="6"/>
    </row>
    <row r="5" spans="2:7" ht="15.5">
      <c r="B5" s="7" t="s">
        <v>314</v>
      </c>
    </row>
    <row r="6" spans="2:7" ht="15.5">
      <c r="B6" s="6" t="s">
        <v>1325</v>
      </c>
    </row>
    <row r="7" spans="2:7" ht="15.5">
      <c r="B7" s="138" t="s">
        <v>1326</v>
      </c>
      <c r="C7" s="139">
        <v>2018</v>
      </c>
      <c r="D7" s="139">
        <v>2019</v>
      </c>
      <c r="E7" s="138" t="s">
        <v>335</v>
      </c>
      <c r="F7" s="138" t="s">
        <v>256</v>
      </c>
      <c r="G7" s="138" t="s">
        <v>257</v>
      </c>
    </row>
    <row r="8" spans="2:7" ht="15.65" customHeight="1">
      <c r="B8" s="698" t="s">
        <v>1327</v>
      </c>
      <c r="C8" s="698"/>
      <c r="D8" s="698"/>
      <c r="E8" s="698"/>
      <c r="F8" s="698"/>
      <c r="G8" s="698"/>
    </row>
    <row r="9" spans="2:7" ht="15.5">
      <c r="B9" s="105" t="s">
        <v>1328</v>
      </c>
      <c r="C9" s="141">
        <v>19245</v>
      </c>
      <c r="D9" s="141">
        <v>22887</v>
      </c>
      <c r="E9" s="141">
        <v>23629</v>
      </c>
      <c r="F9" s="141">
        <v>28101</v>
      </c>
      <c r="G9" s="141">
        <v>31215</v>
      </c>
    </row>
    <row r="10" spans="2:7" ht="15.5">
      <c r="B10" s="698" t="s">
        <v>1329</v>
      </c>
      <c r="C10" s="698">
        <v>26359</v>
      </c>
      <c r="D10" s="698">
        <v>27974</v>
      </c>
      <c r="E10" s="698">
        <v>27173</v>
      </c>
      <c r="F10" s="698">
        <v>28838</v>
      </c>
      <c r="G10" s="698">
        <v>30134</v>
      </c>
    </row>
    <row r="11" spans="2:7" ht="15.5">
      <c r="B11" s="105" t="s">
        <v>1330</v>
      </c>
      <c r="C11" s="141">
        <v>13785</v>
      </c>
      <c r="D11" s="141">
        <v>15966</v>
      </c>
      <c r="E11" s="141">
        <v>17071</v>
      </c>
      <c r="F11" s="141">
        <v>19772</v>
      </c>
      <c r="G11" s="141">
        <v>22020</v>
      </c>
    </row>
    <row r="12" spans="2:7" ht="15.5">
      <c r="B12" s="240" t="s">
        <v>1331</v>
      </c>
      <c r="C12" s="141">
        <v>16324</v>
      </c>
      <c r="D12" s="141">
        <v>18035</v>
      </c>
      <c r="E12" s="141">
        <v>17507</v>
      </c>
      <c r="F12" s="141">
        <v>19342</v>
      </c>
      <c r="G12" s="679">
        <v>20639</v>
      </c>
    </row>
    <row r="13" spans="2:7" ht="15.5">
      <c r="B13" s="240" t="s">
        <v>1332</v>
      </c>
      <c r="C13" s="141">
        <v>36879</v>
      </c>
      <c r="D13" s="141">
        <v>37472</v>
      </c>
      <c r="E13" s="141">
        <v>35291</v>
      </c>
      <c r="F13" s="141">
        <v>35858</v>
      </c>
      <c r="G13" s="679">
        <v>37190</v>
      </c>
    </row>
    <row r="14" spans="2:7" ht="15.5">
      <c r="B14" s="240" t="s">
        <v>1333</v>
      </c>
      <c r="C14" s="141">
        <v>29196</v>
      </c>
      <c r="D14" s="141">
        <v>27876</v>
      </c>
      <c r="E14" s="141">
        <v>27862</v>
      </c>
      <c r="F14" s="141">
        <v>29122</v>
      </c>
      <c r="G14" s="696">
        <v>29773</v>
      </c>
    </row>
    <row r="15" spans="2:7" ht="15.5">
      <c r="B15" s="129" t="s">
        <v>1334</v>
      </c>
      <c r="C15" s="142">
        <v>11</v>
      </c>
      <c r="D15" s="142">
        <v>12</v>
      </c>
      <c r="E15" s="142">
        <v>13</v>
      </c>
      <c r="F15" s="142">
        <v>14</v>
      </c>
      <c r="G15" s="142">
        <v>20</v>
      </c>
    </row>
    <row r="16" spans="2:7" ht="15.5">
      <c r="B16" s="105" t="s">
        <v>1328</v>
      </c>
      <c r="C16" s="143">
        <v>12</v>
      </c>
      <c r="D16" s="143">
        <v>12</v>
      </c>
      <c r="E16" s="143">
        <v>12</v>
      </c>
      <c r="F16" s="143">
        <v>13</v>
      </c>
      <c r="G16" s="681">
        <v>17</v>
      </c>
    </row>
    <row r="17" spans="2:10" ht="15.5">
      <c r="B17" s="240" t="s">
        <v>1329</v>
      </c>
      <c r="C17" s="143">
        <v>9</v>
      </c>
      <c r="D17" s="143">
        <v>10</v>
      </c>
      <c r="E17" s="143">
        <v>11</v>
      </c>
      <c r="F17" s="143">
        <v>12</v>
      </c>
      <c r="G17" s="681">
        <v>18</v>
      </c>
    </row>
    <row r="18" spans="2:10" ht="15.5">
      <c r="B18" s="240" t="s">
        <v>1330</v>
      </c>
      <c r="C18" s="143">
        <v>16</v>
      </c>
      <c r="D18" s="143">
        <v>18</v>
      </c>
      <c r="E18" s="143">
        <v>17</v>
      </c>
      <c r="F18" s="143">
        <v>18</v>
      </c>
      <c r="G18" s="681">
        <v>25</v>
      </c>
    </row>
    <row r="19" spans="2:10" ht="15.5">
      <c r="B19" s="240" t="s">
        <v>1331</v>
      </c>
      <c r="C19" s="143">
        <v>14</v>
      </c>
      <c r="D19" s="143">
        <v>16</v>
      </c>
      <c r="E19" s="143">
        <v>17</v>
      </c>
      <c r="F19" s="143">
        <v>18</v>
      </c>
      <c r="G19" s="681">
        <v>26</v>
      </c>
    </row>
    <row r="20" spans="2:10" ht="15.5">
      <c r="B20" s="240" t="s">
        <v>1332</v>
      </c>
      <c r="C20" s="143">
        <v>6</v>
      </c>
      <c r="D20" s="143">
        <v>8</v>
      </c>
      <c r="E20" s="143">
        <v>8</v>
      </c>
      <c r="F20" s="143">
        <v>10</v>
      </c>
      <c r="G20" s="697">
        <v>15</v>
      </c>
    </row>
    <row r="21" spans="2:10" ht="15.5">
      <c r="B21" s="240" t="s">
        <v>1333</v>
      </c>
      <c r="C21" s="143">
        <v>8</v>
      </c>
      <c r="D21" s="143">
        <v>10</v>
      </c>
      <c r="E21" s="143">
        <v>11</v>
      </c>
      <c r="F21" s="143">
        <v>12</v>
      </c>
      <c r="G21" s="685">
        <v>18</v>
      </c>
    </row>
    <row r="22" spans="2:10">
      <c r="B22" s="11" t="s">
        <v>1277</v>
      </c>
    </row>
    <row r="24" spans="2:10" ht="15.5">
      <c r="B24" s="6" t="s">
        <v>1335</v>
      </c>
    </row>
    <row r="25" spans="2:10" ht="15.5">
      <c r="B25" s="138" t="s">
        <v>1336</v>
      </c>
      <c r="C25" s="139">
        <v>2018</v>
      </c>
      <c r="D25" s="139">
        <v>2019</v>
      </c>
      <c r="E25" s="138" t="s">
        <v>335</v>
      </c>
      <c r="F25" s="138" t="s">
        <v>256</v>
      </c>
      <c r="G25" s="138" t="s">
        <v>257</v>
      </c>
    </row>
    <row r="26" spans="2:10" ht="15.5">
      <c r="B26" s="701" t="s">
        <v>1327</v>
      </c>
      <c r="C26" s="702"/>
      <c r="D26" s="702"/>
      <c r="E26" s="702"/>
      <c r="F26" s="702"/>
      <c r="G26" s="703"/>
    </row>
    <row r="27" spans="2:10" ht="15.5">
      <c r="B27" s="105" t="s">
        <v>1337</v>
      </c>
      <c r="C27" s="141">
        <v>1794444</v>
      </c>
      <c r="D27" s="141">
        <v>1614643</v>
      </c>
      <c r="E27" s="141">
        <v>1894875</v>
      </c>
      <c r="F27" s="141">
        <v>2223743</v>
      </c>
      <c r="G27" s="700">
        <v>2446559</v>
      </c>
      <c r="J27" s="23"/>
    </row>
    <row r="28" spans="2:10" ht="15.5">
      <c r="B28" s="105" t="s">
        <v>1338</v>
      </c>
      <c r="C28" s="141">
        <v>2039752</v>
      </c>
      <c r="D28" s="141">
        <v>1778664</v>
      </c>
      <c r="E28" s="141">
        <v>2302863</v>
      </c>
      <c r="F28" s="141">
        <v>2981551</v>
      </c>
      <c r="G28" s="679">
        <v>3363189</v>
      </c>
    </row>
    <row r="29" spans="2:10" ht="15.5">
      <c r="B29" s="105" t="s">
        <v>1339</v>
      </c>
      <c r="C29" s="141">
        <v>1318615</v>
      </c>
      <c r="D29" s="141">
        <v>1152290</v>
      </c>
      <c r="E29" s="141">
        <v>1691881</v>
      </c>
      <c r="F29" s="141">
        <v>2484150</v>
      </c>
      <c r="G29" s="679">
        <v>2797491</v>
      </c>
    </row>
    <row r="30" spans="2:10" ht="15.5">
      <c r="B30" s="105" t="s">
        <v>1340</v>
      </c>
      <c r="C30" s="141">
        <v>993068</v>
      </c>
      <c r="D30" s="141">
        <v>886472</v>
      </c>
      <c r="E30" s="141">
        <v>796930</v>
      </c>
      <c r="F30" s="141">
        <v>877427</v>
      </c>
      <c r="G30" s="679">
        <v>971610</v>
      </c>
    </row>
    <row r="31" spans="2:10" ht="15.5">
      <c r="B31" s="105" t="s">
        <v>1341</v>
      </c>
      <c r="C31" s="141">
        <v>635757</v>
      </c>
      <c r="D31" s="141">
        <v>601190</v>
      </c>
      <c r="E31" s="141">
        <v>594340</v>
      </c>
      <c r="F31" s="141">
        <v>601112</v>
      </c>
      <c r="G31" s="679">
        <v>633795</v>
      </c>
    </row>
    <row r="32" spans="2:10" ht="15.5">
      <c r="B32" s="129" t="s">
        <v>1334</v>
      </c>
      <c r="C32" s="142">
        <v>2</v>
      </c>
      <c r="D32" s="142">
        <v>2</v>
      </c>
      <c r="E32" s="142">
        <v>2</v>
      </c>
      <c r="F32" s="142">
        <v>2</v>
      </c>
      <c r="G32" s="699">
        <v>2</v>
      </c>
    </row>
    <row r="33" spans="2:7" ht="15.5">
      <c r="B33" s="105" t="s">
        <v>1337</v>
      </c>
      <c r="C33" s="143">
        <v>1</v>
      </c>
      <c r="D33" s="143">
        <v>2</v>
      </c>
      <c r="E33" s="143">
        <v>1</v>
      </c>
      <c r="F33" s="143">
        <v>1</v>
      </c>
      <c r="G33" s="681">
        <v>1</v>
      </c>
    </row>
    <row r="34" spans="2:7" ht="15.5">
      <c r="B34" s="105" t="s">
        <v>1338</v>
      </c>
      <c r="C34" s="143">
        <v>1</v>
      </c>
      <c r="D34" s="143">
        <v>1</v>
      </c>
      <c r="E34" s="143">
        <v>1</v>
      </c>
      <c r="F34" s="143">
        <v>1</v>
      </c>
      <c r="G34" s="681">
        <v>1</v>
      </c>
    </row>
    <row r="35" spans="2:7" ht="15.5">
      <c r="B35" s="105" t="s">
        <v>1339</v>
      </c>
      <c r="C35" s="143">
        <v>2</v>
      </c>
      <c r="D35" s="143">
        <v>2</v>
      </c>
      <c r="E35" s="143">
        <v>2</v>
      </c>
      <c r="F35" s="143">
        <v>1</v>
      </c>
      <c r="G35" s="681">
        <v>1</v>
      </c>
    </row>
    <row r="36" spans="2:7" ht="15.5">
      <c r="B36" s="105" t="s">
        <v>1340</v>
      </c>
      <c r="C36" s="143">
        <v>3</v>
      </c>
      <c r="D36" s="143">
        <v>3</v>
      </c>
      <c r="E36" s="143">
        <v>3</v>
      </c>
      <c r="F36" s="143">
        <v>3</v>
      </c>
      <c r="G36" s="681">
        <v>3</v>
      </c>
    </row>
    <row r="37" spans="2:7" ht="15.5">
      <c r="B37" s="105" t="s">
        <v>1341</v>
      </c>
      <c r="C37" s="143">
        <v>4</v>
      </c>
      <c r="D37" s="143">
        <v>4</v>
      </c>
      <c r="E37" s="143">
        <v>5</v>
      </c>
      <c r="F37" s="143">
        <v>5</v>
      </c>
      <c r="G37" s="681">
        <v>4</v>
      </c>
    </row>
    <row r="38" spans="2:7">
      <c r="B38" s="11" t="s">
        <v>1277</v>
      </c>
    </row>
    <row r="40" spans="2:7" ht="15.5">
      <c r="B40" s="6" t="s">
        <v>1342</v>
      </c>
    </row>
    <row r="41" spans="2:7" ht="15.5">
      <c r="B41" s="138" t="s">
        <v>1326</v>
      </c>
      <c r="C41" s="63">
        <v>2018</v>
      </c>
      <c r="D41" s="63">
        <v>2019</v>
      </c>
      <c r="E41" s="63" t="s">
        <v>335</v>
      </c>
      <c r="F41" s="63" t="s">
        <v>256</v>
      </c>
      <c r="G41" s="63" t="s">
        <v>257</v>
      </c>
    </row>
    <row r="42" spans="2:7" ht="15.5">
      <c r="B42" s="129" t="s">
        <v>1343</v>
      </c>
      <c r="C42" s="267"/>
      <c r="D42" s="267"/>
      <c r="E42" s="267"/>
      <c r="F42" s="267"/>
      <c r="G42" s="267"/>
    </row>
    <row r="43" spans="2:7" ht="15.5">
      <c r="B43" s="105" t="s">
        <v>1344</v>
      </c>
      <c r="C43" s="65">
        <v>255498</v>
      </c>
      <c r="D43" s="65">
        <v>254984</v>
      </c>
      <c r="E43" s="65">
        <v>233758</v>
      </c>
      <c r="F43" s="65">
        <v>243723</v>
      </c>
      <c r="G43" s="700">
        <v>283000</v>
      </c>
    </row>
    <row r="44" spans="2:7" ht="15.5">
      <c r="B44" s="105" t="s">
        <v>1345</v>
      </c>
      <c r="C44" s="65">
        <v>235334</v>
      </c>
      <c r="D44" s="65">
        <v>226974</v>
      </c>
      <c r="E44" s="65">
        <v>214614</v>
      </c>
      <c r="F44" s="65">
        <v>224269</v>
      </c>
      <c r="G44" s="700">
        <v>265851</v>
      </c>
    </row>
    <row r="45" spans="2:7" ht="15.5">
      <c r="B45" s="105" t="s">
        <v>1346</v>
      </c>
      <c r="C45" s="65">
        <v>223978</v>
      </c>
      <c r="D45" s="65">
        <v>217380</v>
      </c>
      <c r="E45" s="65">
        <v>195869</v>
      </c>
      <c r="F45" s="65">
        <v>203548</v>
      </c>
      <c r="G45" s="700">
        <v>231170</v>
      </c>
    </row>
    <row r="46" spans="2:7" ht="15.5">
      <c r="B46" s="105" t="s">
        <v>1347</v>
      </c>
      <c r="C46" s="65">
        <v>218546</v>
      </c>
      <c r="D46" s="65">
        <v>205667</v>
      </c>
      <c r="E46" s="65">
        <v>206759</v>
      </c>
      <c r="F46" s="65">
        <v>212302</v>
      </c>
      <c r="G46" s="700">
        <v>247373</v>
      </c>
    </row>
    <row r="47" spans="2:7" ht="15.5">
      <c r="B47" s="105" t="s">
        <v>1348</v>
      </c>
      <c r="C47" s="65">
        <v>212542</v>
      </c>
      <c r="D47" s="65">
        <v>212715</v>
      </c>
      <c r="E47" s="65">
        <v>215289</v>
      </c>
      <c r="F47" s="65">
        <v>216679</v>
      </c>
      <c r="G47" s="700">
        <v>263679</v>
      </c>
    </row>
    <row r="48" spans="2:7" ht="15.5">
      <c r="B48" s="105" t="s">
        <v>1349</v>
      </c>
      <c r="C48" s="65">
        <v>215343</v>
      </c>
      <c r="D48" s="65">
        <v>214499</v>
      </c>
      <c r="E48" s="65">
        <v>187976</v>
      </c>
      <c r="F48" s="65">
        <v>195643</v>
      </c>
      <c r="G48" s="700">
        <v>232012</v>
      </c>
    </row>
    <row r="49" spans="2:7" ht="15.5">
      <c r="B49" s="105" t="s">
        <v>1350</v>
      </c>
      <c r="C49" s="65">
        <v>134390</v>
      </c>
      <c r="D49" s="65">
        <v>128401</v>
      </c>
      <c r="E49" s="65">
        <v>124012</v>
      </c>
      <c r="F49" s="65">
        <v>128895</v>
      </c>
      <c r="G49" s="700">
        <v>152194</v>
      </c>
    </row>
    <row r="50" spans="2:7" ht="15.5">
      <c r="B50" s="105" t="s">
        <v>1351</v>
      </c>
      <c r="C50" s="65">
        <v>135585</v>
      </c>
      <c r="D50" s="65">
        <v>136050</v>
      </c>
      <c r="E50" s="65">
        <v>130919</v>
      </c>
      <c r="F50" s="65">
        <v>133163</v>
      </c>
      <c r="G50" s="700">
        <v>160942</v>
      </c>
    </row>
    <row r="51" spans="2:7" ht="15.5">
      <c r="B51" s="105" t="s">
        <v>1352</v>
      </c>
      <c r="C51" s="65">
        <v>121279</v>
      </c>
      <c r="D51" s="65">
        <v>126542</v>
      </c>
      <c r="E51" s="65">
        <v>116734</v>
      </c>
      <c r="F51" s="65">
        <v>118725</v>
      </c>
      <c r="G51" s="700">
        <v>141208</v>
      </c>
    </row>
    <row r="52" spans="2:7" ht="15.5">
      <c r="B52" s="105" t="s">
        <v>1353</v>
      </c>
      <c r="C52" s="65">
        <v>91123</v>
      </c>
      <c r="D52" s="65">
        <v>90292</v>
      </c>
      <c r="E52" s="65">
        <v>91548</v>
      </c>
      <c r="F52" s="65">
        <v>92702</v>
      </c>
      <c r="G52" s="700">
        <v>110630</v>
      </c>
    </row>
    <row r="53" spans="2:7" ht="15.5">
      <c r="B53" s="105" t="s">
        <v>1354</v>
      </c>
      <c r="C53" s="65">
        <v>158392</v>
      </c>
      <c r="D53" s="65">
        <v>151556</v>
      </c>
      <c r="E53" s="65">
        <v>139892</v>
      </c>
      <c r="F53" s="65">
        <v>143144</v>
      </c>
      <c r="G53" s="700">
        <v>168674</v>
      </c>
    </row>
    <row r="54" spans="2:7" ht="15.5">
      <c r="B54" s="129" t="s">
        <v>1334</v>
      </c>
      <c r="C54" s="119">
        <v>3</v>
      </c>
      <c r="D54" s="119">
        <v>3</v>
      </c>
      <c r="E54" s="119">
        <v>4</v>
      </c>
      <c r="F54" s="119">
        <v>3</v>
      </c>
      <c r="G54" s="704">
        <v>3</v>
      </c>
    </row>
    <row r="55" spans="2:7" ht="15.5">
      <c r="B55" s="105" t="s">
        <v>1344</v>
      </c>
      <c r="C55" s="33">
        <v>2</v>
      </c>
      <c r="D55" s="33">
        <v>2</v>
      </c>
      <c r="E55" s="33">
        <v>2</v>
      </c>
      <c r="F55" s="33">
        <v>2</v>
      </c>
      <c r="G55" s="705">
        <v>2</v>
      </c>
    </row>
    <row r="56" spans="2:7" ht="15.5">
      <c r="B56" s="105" t="s">
        <v>1345</v>
      </c>
      <c r="C56" s="33">
        <v>2</v>
      </c>
      <c r="D56" s="33">
        <v>2</v>
      </c>
      <c r="E56" s="33">
        <v>3</v>
      </c>
      <c r="F56" s="33">
        <v>2</v>
      </c>
      <c r="G56" s="705">
        <v>2</v>
      </c>
    </row>
    <row r="57" spans="2:7" ht="15.5">
      <c r="B57" s="105" t="s">
        <v>1346</v>
      </c>
      <c r="C57" s="33">
        <v>2</v>
      </c>
      <c r="D57" s="33">
        <v>2</v>
      </c>
      <c r="E57" s="33">
        <v>3</v>
      </c>
      <c r="F57" s="33">
        <v>3</v>
      </c>
      <c r="G57" s="705">
        <v>2</v>
      </c>
    </row>
    <row r="58" spans="2:7" ht="15.5">
      <c r="B58" s="105" t="s">
        <v>1347</v>
      </c>
      <c r="C58" s="33">
        <v>2</v>
      </c>
      <c r="D58" s="33">
        <v>3</v>
      </c>
      <c r="E58" s="33">
        <v>3</v>
      </c>
      <c r="F58" s="33">
        <v>3</v>
      </c>
      <c r="G58" s="705">
        <v>2</v>
      </c>
    </row>
    <row r="59" spans="2:7" ht="15.5">
      <c r="B59" s="105" t="s">
        <v>1348</v>
      </c>
      <c r="C59" s="33">
        <v>2</v>
      </c>
      <c r="D59" s="33">
        <v>2</v>
      </c>
      <c r="E59" s="33">
        <v>3</v>
      </c>
      <c r="F59" s="33">
        <v>2</v>
      </c>
      <c r="G59" s="705">
        <v>2</v>
      </c>
    </row>
    <row r="60" spans="2:7" ht="15.5">
      <c r="B60" s="105" t="s">
        <v>1349</v>
      </c>
      <c r="C60" s="33">
        <v>2</v>
      </c>
      <c r="D60" s="33">
        <v>2</v>
      </c>
      <c r="E60" s="33">
        <v>3</v>
      </c>
      <c r="F60" s="33">
        <v>3</v>
      </c>
      <c r="G60" s="705">
        <v>2</v>
      </c>
    </row>
    <row r="61" spans="2:7" ht="15.5">
      <c r="B61" s="105" t="s">
        <v>1350</v>
      </c>
      <c r="C61" s="33">
        <v>3</v>
      </c>
      <c r="D61" s="33">
        <v>4</v>
      </c>
      <c r="E61" s="33">
        <v>4</v>
      </c>
      <c r="F61" s="33">
        <v>4</v>
      </c>
      <c r="G61" s="705">
        <v>4</v>
      </c>
    </row>
    <row r="62" spans="2:7" ht="15.5">
      <c r="B62" s="105" t="s">
        <v>1351</v>
      </c>
      <c r="C62" s="33">
        <v>3</v>
      </c>
      <c r="D62" s="33">
        <v>3</v>
      </c>
      <c r="E62" s="33">
        <v>4</v>
      </c>
      <c r="F62" s="33">
        <v>4</v>
      </c>
      <c r="G62" s="706">
        <v>3</v>
      </c>
    </row>
    <row r="63" spans="2:7" ht="15.5">
      <c r="B63" s="105" t="s">
        <v>1352</v>
      </c>
      <c r="C63" s="33">
        <v>4</v>
      </c>
      <c r="D63" s="33">
        <v>4</v>
      </c>
      <c r="E63" s="33">
        <v>5</v>
      </c>
      <c r="F63" s="33">
        <v>5</v>
      </c>
      <c r="G63" s="685">
        <v>4</v>
      </c>
    </row>
    <row r="64" spans="2:7" ht="15.5">
      <c r="B64" s="105" t="s">
        <v>1353</v>
      </c>
      <c r="C64" s="33">
        <v>5</v>
      </c>
      <c r="D64" s="33">
        <v>5</v>
      </c>
      <c r="E64" s="33">
        <v>6</v>
      </c>
      <c r="F64" s="33">
        <v>6</v>
      </c>
      <c r="G64" s="685">
        <v>5</v>
      </c>
    </row>
    <row r="65" spans="2:7" ht="15.5">
      <c r="B65" s="105" t="s">
        <v>1354</v>
      </c>
      <c r="C65" s="33">
        <v>3</v>
      </c>
      <c r="D65" s="33">
        <v>3</v>
      </c>
      <c r="E65" s="33">
        <v>4</v>
      </c>
      <c r="F65" s="33">
        <v>4</v>
      </c>
      <c r="G65" s="685">
        <v>3</v>
      </c>
    </row>
    <row r="66" spans="2:7">
      <c r="B66" s="11" t="s">
        <v>1277</v>
      </c>
    </row>
    <row r="67" spans="2:7" ht="15.5">
      <c r="B67" s="7" t="s">
        <v>314</v>
      </c>
    </row>
    <row r="68" spans="2:7" ht="15.5">
      <c r="B68" s="88" t="s">
        <v>1355</v>
      </c>
    </row>
    <row r="69" spans="2:7">
      <c r="B69" s="41" t="s">
        <v>1356</v>
      </c>
      <c r="C69" s="42">
        <v>2018</v>
      </c>
      <c r="D69" s="42">
        <v>2019</v>
      </c>
      <c r="E69" s="42" t="s">
        <v>335</v>
      </c>
      <c r="F69" s="42" t="s">
        <v>256</v>
      </c>
      <c r="G69" s="42" t="s">
        <v>257</v>
      </c>
    </row>
    <row r="70" spans="2:7">
      <c r="B70" s="230" t="s">
        <v>1327</v>
      </c>
      <c r="C70" s="269"/>
      <c r="D70" s="269"/>
      <c r="E70" s="269"/>
      <c r="F70" s="269"/>
      <c r="G70" s="269"/>
    </row>
    <row r="71" spans="2:7">
      <c r="B71" s="47" t="s">
        <v>1357</v>
      </c>
      <c r="C71" s="45">
        <v>50127</v>
      </c>
      <c r="D71" s="45">
        <v>50806</v>
      </c>
      <c r="E71" s="45">
        <v>49109</v>
      </c>
      <c r="F71" s="45">
        <v>49774</v>
      </c>
      <c r="G71" s="707">
        <v>57451</v>
      </c>
    </row>
    <row r="72" spans="2:7">
      <c r="B72" s="47" t="s">
        <v>1358</v>
      </c>
      <c r="C72" s="45">
        <v>35744</v>
      </c>
      <c r="D72" s="45">
        <v>38867</v>
      </c>
      <c r="E72" s="45">
        <v>36653</v>
      </c>
      <c r="F72" s="45">
        <v>39855</v>
      </c>
      <c r="G72" s="707">
        <v>46040</v>
      </c>
    </row>
    <row r="73" spans="2:7">
      <c r="B73" s="47" t="s">
        <v>1359</v>
      </c>
      <c r="C73" s="45">
        <v>29543</v>
      </c>
      <c r="D73" s="45">
        <v>29599</v>
      </c>
      <c r="E73" s="45">
        <v>31257</v>
      </c>
      <c r="F73" s="45">
        <v>32162</v>
      </c>
      <c r="G73" s="707">
        <v>34710</v>
      </c>
    </row>
    <row r="74" spans="2:7">
      <c r="B74" s="47" t="s">
        <v>1360</v>
      </c>
      <c r="C74" s="45">
        <v>24773</v>
      </c>
      <c r="D74" s="45">
        <v>27002</v>
      </c>
      <c r="E74" s="45">
        <v>27254</v>
      </c>
      <c r="F74" s="45">
        <v>29706</v>
      </c>
      <c r="G74" s="707">
        <v>35782</v>
      </c>
    </row>
    <row r="75" spans="2:7">
      <c r="B75" s="47" t="s">
        <v>1361</v>
      </c>
      <c r="C75" s="45">
        <v>29716</v>
      </c>
      <c r="D75" s="45">
        <v>28614</v>
      </c>
      <c r="E75" s="45">
        <v>29289</v>
      </c>
      <c r="F75" s="45">
        <v>30375</v>
      </c>
      <c r="G75" s="707">
        <v>36995</v>
      </c>
    </row>
    <row r="76" spans="2:7">
      <c r="B76" s="47" t="s">
        <v>1362</v>
      </c>
      <c r="C76" s="45">
        <v>21402</v>
      </c>
      <c r="D76" s="45">
        <v>21786</v>
      </c>
      <c r="E76" s="45">
        <v>17988</v>
      </c>
      <c r="F76" s="45">
        <v>18311</v>
      </c>
      <c r="G76" s="707">
        <v>19386</v>
      </c>
    </row>
    <row r="77" spans="2:7">
      <c r="B77" s="47" t="s">
        <v>1363</v>
      </c>
      <c r="C77" s="45">
        <v>22589</v>
      </c>
      <c r="D77" s="45">
        <v>22841</v>
      </c>
      <c r="E77" s="45">
        <v>20450</v>
      </c>
      <c r="F77" s="45">
        <v>20678</v>
      </c>
      <c r="G77" s="707">
        <v>25322</v>
      </c>
    </row>
    <row r="78" spans="2:7">
      <c r="B78" s="47" t="s">
        <v>1364</v>
      </c>
      <c r="C78" s="45">
        <v>17690</v>
      </c>
      <c r="D78" s="45">
        <v>21078</v>
      </c>
      <c r="E78" s="45">
        <v>17706</v>
      </c>
      <c r="F78" s="45">
        <v>17985</v>
      </c>
      <c r="G78" s="707">
        <v>20485</v>
      </c>
    </row>
    <row r="79" spans="2:7">
      <c r="B79" s="230" t="s">
        <v>1365</v>
      </c>
      <c r="C79" s="269">
        <v>3</v>
      </c>
      <c r="D79" s="269">
        <v>3</v>
      </c>
      <c r="E79" s="269">
        <v>4</v>
      </c>
      <c r="F79" s="269">
        <v>4</v>
      </c>
      <c r="G79" s="708">
        <v>3</v>
      </c>
    </row>
    <row r="80" spans="2:7">
      <c r="B80" s="47" t="s">
        <v>1357</v>
      </c>
      <c r="C80" s="46">
        <v>2</v>
      </c>
      <c r="D80" s="46">
        <v>2</v>
      </c>
      <c r="E80" s="46">
        <v>2</v>
      </c>
      <c r="F80" s="46">
        <v>2</v>
      </c>
      <c r="G80" s="46">
        <v>2</v>
      </c>
    </row>
    <row r="81" spans="2:8">
      <c r="B81" s="47" t="s">
        <v>1358</v>
      </c>
      <c r="C81" s="46">
        <v>3</v>
      </c>
      <c r="D81" s="46">
        <v>3</v>
      </c>
      <c r="E81" s="46">
        <v>3</v>
      </c>
      <c r="F81" s="46">
        <v>2</v>
      </c>
      <c r="G81" s="46">
        <v>2</v>
      </c>
    </row>
    <row r="82" spans="2:8">
      <c r="B82" s="47" t="s">
        <v>1359</v>
      </c>
      <c r="C82" s="46">
        <v>3</v>
      </c>
      <c r="D82" s="46">
        <v>3</v>
      </c>
      <c r="E82" s="46">
        <v>3</v>
      </c>
      <c r="F82" s="46">
        <v>3</v>
      </c>
      <c r="G82" s="46">
        <v>3</v>
      </c>
    </row>
    <row r="83" spans="2:8">
      <c r="B83" s="47" t="s">
        <v>1360</v>
      </c>
      <c r="C83" s="46">
        <v>3</v>
      </c>
      <c r="D83" s="46">
        <v>3</v>
      </c>
      <c r="E83" s="46">
        <v>3</v>
      </c>
      <c r="F83" s="46">
        <v>3</v>
      </c>
      <c r="G83" s="46">
        <v>3</v>
      </c>
    </row>
    <row r="84" spans="2:8">
      <c r="B84" s="47" t="s">
        <v>1361</v>
      </c>
      <c r="C84" s="46">
        <v>3</v>
      </c>
      <c r="D84" s="46">
        <v>3</v>
      </c>
      <c r="E84" s="46">
        <v>3</v>
      </c>
      <c r="F84" s="46">
        <v>3</v>
      </c>
      <c r="G84" s="46">
        <v>3</v>
      </c>
    </row>
    <row r="85" spans="2:8">
      <c r="B85" s="47" t="s">
        <v>1362</v>
      </c>
      <c r="C85" s="46">
        <v>4</v>
      </c>
      <c r="D85" s="46">
        <v>4</v>
      </c>
      <c r="E85" s="46">
        <v>5</v>
      </c>
      <c r="F85" s="46">
        <v>5</v>
      </c>
      <c r="G85" s="46">
        <v>5</v>
      </c>
    </row>
    <row r="86" spans="2:8">
      <c r="B86" s="47" t="s">
        <v>1363</v>
      </c>
      <c r="C86" s="46">
        <v>4</v>
      </c>
      <c r="D86" s="46">
        <v>4</v>
      </c>
      <c r="E86" s="46">
        <v>5</v>
      </c>
      <c r="F86" s="46">
        <v>5</v>
      </c>
      <c r="G86" s="46">
        <v>4</v>
      </c>
    </row>
    <row r="87" spans="2:8">
      <c r="B87" s="47" t="s">
        <v>1364</v>
      </c>
      <c r="C87" s="46">
        <v>5</v>
      </c>
      <c r="D87" s="46">
        <v>5</v>
      </c>
      <c r="E87" s="46">
        <v>5</v>
      </c>
      <c r="F87" s="46">
        <v>6</v>
      </c>
      <c r="G87" s="46">
        <v>5</v>
      </c>
    </row>
    <row r="88" spans="2:8">
      <c r="B88" s="11" t="s">
        <v>1277</v>
      </c>
    </row>
    <row r="89" spans="2:8" ht="15.5">
      <c r="B89" s="7" t="s">
        <v>314</v>
      </c>
    </row>
    <row r="90" spans="2:8" s="17" customFormat="1" ht="15.5">
      <c r="B90" s="88" t="s">
        <v>1366</v>
      </c>
      <c r="C90"/>
      <c r="D90"/>
      <c r="E90"/>
      <c r="F90"/>
    </row>
    <row r="91" spans="2:8">
      <c r="B91" s="270" t="s">
        <v>1326</v>
      </c>
      <c r="C91" s="220">
        <v>2018</v>
      </c>
      <c r="D91" s="220">
        <v>2019</v>
      </c>
      <c r="E91" s="220" t="s">
        <v>335</v>
      </c>
      <c r="F91" s="220" t="s">
        <v>256</v>
      </c>
      <c r="G91" s="220" t="s">
        <v>257</v>
      </c>
    </row>
    <row r="92" spans="2:8">
      <c r="B92" s="271" t="s">
        <v>1343</v>
      </c>
      <c r="C92" s="267"/>
      <c r="D92" s="267"/>
      <c r="E92" s="267"/>
      <c r="F92" s="267"/>
      <c r="G92" s="267"/>
    </row>
    <row r="93" spans="2:8">
      <c r="B93" s="272" t="s">
        <v>1346</v>
      </c>
      <c r="C93" s="273">
        <v>24702</v>
      </c>
      <c r="D93" s="273">
        <v>26178</v>
      </c>
      <c r="E93" s="273">
        <v>26459</v>
      </c>
      <c r="F93" s="273">
        <v>28040</v>
      </c>
      <c r="G93" s="709">
        <v>29894</v>
      </c>
    </row>
    <row r="94" spans="2:8">
      <c r="B94" s="272" t="s">
        <v>1367</v>
      </c>
      <c r="C94" s="273">
        <v>20668</v>
      </c>
      <c r="D94" s="273">
        <v>21861</v>
      </c>
      <c r="E94" s="273">
        <v>23399</v>
      </c>
      <c r="F94" s="273">
        <v>24750</v>
      </c>
      <c r="G94" s="709">
        <v>25711</v>
      </c>
    </row>
    <row r="95" spans="2:8">
      <c r="B95" s="272" t="s">
        <v>1351</v>
      </c>
      <c r="C95" s="273">
        <v>18908</v>
      </c>
      <c r="D95" s="273">
        <v>18695</v>
      </c>
      <c r="E95" s="273">
        <v>20004</v>
      </c>
      <c r="F95" s="273">
        <v>20592</v>
      </c>
      <c r="G95" s="709">
        <v>22808</v>
      </c>
    </row>
    <row r="96" spans="2:8">
      <c r="B96" s="272" t="s">
        <v>1352</v>
      </c>
      <c r="C96" s="273">
        <v>13335</v>
      </c>
      <c r="D96" s="273">
        <v>15464</v>
      </c>
      <c r="E96" s="273">
        <v>17688</v>
      </c>
      <c r="F96" s="273">
        <v>20512</v>
      </c>
      <c r="G96" s="709">
        <v>21500</v>
      </c>
      <c r="H96" t="s">
        <v>704</v>
      </c>
    </row>
    <row r="97" spans="2:7">
      <c r="B97" s="272" t="s">
        <v>1368</v>
      </c>
      <c r="C97" s="273">
        <v>6276</v>
      </c>
      <c r="D97" s="273">
        <v>5890</v>
      </c>
      <c r="E97" s="273">
        <v>9092</v>
      </c>
      <c r="F97" s="273">
        <v>9651</v>
      </c>
      <c r="G97" s="709">
        <v>10631</v>
      </c>
    </row>
    <row r="98" spans="2:7">
      <c r="B98" s="272" t="s">
        <v>1350</v>
      </c>
      <c r="C98" s="273">
        <v>5042</v>
      </c>
      <c r="D98" s="273">
        <v>5788</v>
      </c>
      <c r="E98" s="273">
        <v>6016</v>
      </c>
      <c r="F98" s="273">
        <v>6906</v>
      </c>
      <c r="G98" s="709">
        <v>7722</v>
      </c>
    </row>
    <row r="99" spans="2:7">
      <c r="B99" s="272" t="s">
        <v>1348</v>
      </c>
      <c r="C99" s="273">
        <v>3334</v>
      </c>
      <c r="D99" s="273">
        <v>4233</v>
      </c>
      <c r="E99" s="273">
        <v>5181</v>
      </c>
      <c r="F99" s="273">
        <v>6578</v>
      </c>
      <c r="G99" s="709">
        <v>7361</v>
      </c>
    </row>
    <row r="100" spans="2:7">
      <c r="B100" s="271" t="s">
        <v>1369</v>
      </c>
      <c r="C100" s="274">
        <v>4</v>
      </c>
      <c r="D100" s="274">
        <v>4</v>
      </c>
      <c r="E100" s="274">
        <v>3</v>
      </c>
      <c r="F100" s="274">
        <v>4</v>
      </c>
      <c r="G100" s="710">
        <v>3</v>
      </c>
    </row>
    <row r="101" spans="2:7">
      <c r="B101" s="272" t="s">
        <v>1346</v>
      </c>
      <c r="C101" s="275">
        <v>1</v>
      </c>
      <c r="D101" s="275">
        <v>1</v>
      </c>
      <c r="E101" s="275">
        <v>1</v>
      </c>
      <c r="F101" s="275">
        <v>2</v>
      </c>
      <c r="G101" s="46">
        <v>1</v>
      </c>
    </row>
    <row r="102" spans="2:7">
      <c r="B102" s="272" t="s">
        <v>1367</v>
      </c>
      <c r="C102" s="275">
        <v>2</v>
      </c>
      <c r="D102" s="275">
        <v>2</v>
      </c>
      <c r="E102" s="275">
        <v>1</v>
      </c>
      <c r="F102" s="275">
        <v>2</v>
      </c>
      <c r="G102" s="46">
        <v>1</v>
      </c>
    </row>
    <row r="103" spans="2:7">
      <c r="B103" s="272" t="s">
        <v>1351</v>
      </c>
      <c r="C103" s="275">
        <v>2</v>
      </c>
      <c r="D103" s="275">
        <v>2</v>
      </c>
      <c r="E103" s="275">
        <v>2</v>
      </c>
      <c r="F103" s="275">
        <v>2</v>
      </c>
      <c r="G103" s="46">
        <v>1</v>
      </c>
    </row>
    <row r="104" spans="2:7">
      <c r="B104" s="272" t="s">
        <v>1352</v>
      </c>
      <c r="C104" s="275">
        <v>2</v>
      </c>
      <c r="D104" s="275">
        <v>2</v>
      </c>
      <c r="E104" s="275">
        <v>2</v>
      </c>
      <c r="F104" s="275">
        <v>2</v>
      </c>
      <c r="G104" s="46">
        <v>2</v>
      </c>
    </row>
    <row r="105" spans="2:7">
      <c r="B105" s="272" t="s">
        <v>1368</v>
      </c>
      <c r="C105" s="275">
        <v>5</v>
      </c>
      <c r="D105" s="275">
        <v>6</v>
      </c>
      <c r="E105" s="275">
        <v>4</v>
      </c>
      <c r="F105" s="275">
        <v>5</v>
      </c>
      <c r="G105" s="46">
        <v>3</v>
      </c>
    </row>
    <row r="106" spans="2:7">
      <c r="B106" s="272" t="s">
        <v>1350</v>
      </c>
      <c r="C106" s="275">
        <v>6</v>
      </c>
      <c r="D106" s="275">
        <v>6</v>
      </c>
      <c r="E106" s="275">
        <v>6</v>
      </c>
      <c r="F106" s="275">
        <v>7</v>
      </c>
      <c r="G106" s="46">
        <v>4</v>
      </c>
    </row>
    <row r="107" spans="2:7">
      <c r="B107" s="272" t="s">
        <v>1348</v>
      </c>
      <c r="C107" s="275">
        <v>9</v>
      </c>
      <c r="D107" s="275">
        <v>8</v>
      </c>
      <c r="E107" s="275">
        <v>7</v>
      </c>
      <c r="F107" s="275">
        <v>7</v>
      </c>
      <c r="G107" s="46">
        <v>5</v>
      </c>
    </row>
    <row r="108" spans="2:7">
      <c r="B108" s="11" t="s">
        <v>1277</v>
      </c>
    </row>
    <row r="109" spans="2:7" ht="15.5">
      <c r="B109" s="7" t="s">
        <v>314</v>
      </c>
    </row>
    <row r="110" spans="2:7" ht="15.5">
      <c r="B110" s="88" t="s">
        <v>1371</v>
      </c>
    </row>
    <row r="111" spans="2:7">
      <c r="B111" s="276" t="s">
        <v>1326</v>
      </c>
      <c r="C111" s="42">
        <v>2018</v>
      </c>
      <c r="D111" s="42">
        <v>2019</v>
      </c>
      <c r="E111" s="42" t="s">
        <v>335</v>
      </c>
      <c r="F111" s="42" t="s">
        <v>256</v>
      </c>
      <c r="G111" s="42" t="s">
        <v>257</v>
      </c>
    </row>
    <row r="112" spans="2:7">
      <c r="B112" s="230" t="s">
        <v>1343</v>
      </c>
      <c r="C112" s="267"/>
      <c r="D112" s="267"/>
      <c r="E112" s="267"/>
      <c r="F112" s="267"/>
      <c r="G112" s="267"/>
    </row>
    <row r="113" spans="2:7">
      <c r="B113" s="277" t="s">
        <v>1350</v>
      </c>
      <c r="C113" s="45">
        <v>23978</v>
      </c>
      <c r="D113" s="45">
        <v>26151</v>
      </c>
      <c r="E113" s="45">
        <v>22434</v>
      </c>
      <c r="F113" s="45">
        <v>24467</v>
      </c>
      <c r="G113" s="45">
        <v>28621</v>
      </c>
    </row>
    <row r="114" spans="2:7">
      <c r="B114" s="277" t="s">
        <v>1348</v>
      </c>
      <c r="C114" s="45">
        <v>19436</v>
      </c>
      <c r="D114" s="45">
        <v>19458</v>
      </c>
      <c r="E114" s="45">
        <v>21517</v>
      </c>
      <c r="F114" s="45">
        <v>22668</v>
      </c>
      <c r="G114" s="45">
        <v>27183</v>
      </c>
    </row>
    <row r="115" spans="2:7">
      <c r="B115" s="277" t="s">
        <v>1372</v>
      </c>
      <c r="C115" s="45">
        <v>14091</v>
      </c>
      <c r="D115" s="45">
        <v>15702</v>
      </c>
      <c r="E115" s="45">
        <v>13720</v>
      </c>
      <c r="F115" s="45">
        <v>15289</v>
      </c>
      <c r="G115" s="45">
        <v>17906</v>
      </c>
    </row>
    <row r="116" spans="2:7">
      <c r="B116" s="277" t="s">
        <v>1353</v>
      </c>
      <c r="C116" s="45">
        <v>6407</v>
      </c>
      <c r="D116" s="45">
        <v>6324</v>
      </c>
      <c r="E116" s="45">
        <v>8038</v>
      </c>
      <c r="F116" s="45">
        <v>9075</v>
      </c>
      <c r="G116" s="45">
        <v>10944</v>
      </c>
    </row>
    <row r="117" spans="2:7">
      <c r="B117" s="277" t="s">
        <v>1373</v>
      </c>
      <c r="C117" s="45">
        <v>9843</v>
      </c>
      <c r="D117" s="45">
        <v>10898</v>
      </c>
      <c r="E117" s="45">
        <v>11952</v>
      </c>
      <c r="F117" s="45">
        <v>13232</v>
      </c>
      <c r="G117" s="45">
        <v>12897</v>
      </c>
    </row>
    <row r="118" spans="2:7">
      <c r="B118" s="277" t="s">
        <v>1351</v>
      </c>
      <c r="C118" s="278"/>
      <c r="D118" s="45">
        <v>3323</v>
      </c>
      <c r="E118" s="45">
        <v>3805</v>
      </c>
      <c r="F118" s="45">
        <v>4357</v>
      </c>
      <c r="G118" s="45">
        <v>5393</v>
      </c>
    </row>
    <row r="119" spans="2:7">
      <c r="B119" s="277" t="s">
        <v>1368</v>
      </c>
      <c r="C119" s="278"/>
      <c r="D119" s="45">
        <v>2880</v>
      </c>
      <c r="E119" s="45">
        <v>3808</v>
      </c>
      <c r="F119" s="45">
        <v>5035</v>
      </c>
      <c r="G119" s="45">
        <v>6088</v>
      </c>
    </row>
    <row r="120" spans="2:7">
      <c r="B120" s="230" t="s">
        <v>1374</v>
      </c>
      <c r="C120" s="269">
        <v>3</v>
      </c>
      <c r="D120" s="269">
        <v>5</v>
      </c>
      <c r="E120" s="269">
        <v>4</v>
      </c>
      <c r="F120" s="269">
        <v>2</v>
      </c>
      <c r="G120" s="269">
        <v>3</v>
      </c>
    </row>
    <row r="121" spans="2:7">
      <c r="B121" s="277" t="s">
        <v>1350</v>
      </c>
      <c r="C121" s="46">
        <v>1</v>
      </c>
      <c r="D121" s="46">
        <v>1</v>
      </c>
      <c r="E121" s="46">
        <v>1</v>
      </c>
      <c r="F121" s="46">
        <v>1</v>
      </c>
      <c r="G121" s="46">
        <v>1</v>
      </c>
    </row>
    <row r="122" spans="2:7">
      <c r="B122" s="277" t="s">
        <v>1348</v>
      </c>
      <c r="C122" s="46">
        <v>2</v>
      </c>
      <c r="D122" s="46">
        <v>2</v>
      </c>
      <c r="E122" s="46">
        <v>1</v>
      </c>
      <c r="F122" s="46">
        <v>1</v>
      </c>
      <c r="G122" s="46">
        <v>1</v>
      </c>
    </row>
    <row r="123" spans="2:7">
      <c r="B123" s="277" t="s">
        <v>1372</v>
      </c>
      <c r="C123" s="46">
        <v>2</v>
      </c>
      <c r="D123" s="46">
        <v>2</v>
      </c>
      <c r="E123" s="46">
        <v>2</v>
      </c>
      <c r="F123" s="46">
        <v>1</v>
      </c>
      <c r="G123" s="46">
        <v>2</v>
      </c>
    </row>
    <row r="124" spans="2:7">
      <c r="B124" s="277" t="s">
        <v>1353</v>
      </c>
      <c r="C124" s="46">
        <v>5</v>
      </c>
      <c r="D124" s="46">
        <v>5</v>
      </c>
      <c r="E124" s="46">
        <v>4</v>
      </c>
      <c r="F124" s="46">
        <v>2</v>
      </c>
      <c r="G124" s="46">
        <v>3</v>
      </c>
    </row>
    <row r="125" spans="2:7">
      <c r="B125" s="277" t="s">
        <v>1373</v>
      </c>
      <c r="C125" s="46">
        <v>4</v>
      </c>
      <c r="D125" s="46">
        <v>1</v>
      </c>
      <c r="E125" s="46">
        <v>3</v>
      </c>
      <c r="F125" s="46">
        <v>2</v>
      </c>
      <c r="G125" s="46">
        <v>2</v>
      </c>
    </row>
    <row r="126" spans="2:7">
      <c r="B126" s="277" t="s">
        <v>1351</v>
      </c>
      <c r="C126" s="278"/>
      <c r="D126" s="46">
        <v>10</v>
      </c>
      <c r="E126" s="46">
        <v>9</v>
      </c>
      <c r="F126" s="46">
        <v>5</v>
      </c>
      <c r="G126" s="46">
        <v>6</v>
      </c>
    </row>
    <row r="127" spans="2:7">
      <c r="B127" s="277" t="s">
        <v>1368</v>
      </c>
      <c r="C127" s="278"/>
      <c r="D127" s="46">
        <v>11</v>
      </c>
      <c r="E127" s="46">
        <v>8</v>
      </c>
      <c r="F127" s="46">
        <v>4</v>
      </c>
      <c r="G127" s="46">
        <v>5</v>
      </c>
    </row>
    <row r="128" spans="2:7">
      <c r="B128" s="11" t="s">
        <v>1277</v>
      </c>
    </row>
    <row r="130" spans="2:7" ht="15.5">
      <c r="B130" s="88" t="s">
        <v>1376</v>
      </c>
    </row>
    <row r="131" spans="2:7">
      <c r="B131" s="41" t="s">
        <v>1356</v>
      </c>
      <c r="C131" s="42">
        <v>2018</v>
      </c>
      <c r="D131" s="42">
        <v>2019</v>
      </c>
      <c r="E131" s="42" t="s">
        <v>1377</v>
      </c>
      <c r="F131" s="42" t="s">
        <v>1378</v>
      </c>
      <c r="G131" s="42" t="s">
        <v>257</v>
      </c>
    </row>
    <row r="132" spans="2:7">
      <c r="B132" s="230" t="s">
        <v>1327</v>
      </c>
      <c r="C132" s="269"/>
      <c r="D132" s="269"/>
      <c r="E132" s="269"/>
      <c r="F132" s="269"/>
      <c r="G132" s="269"/>
    </row>
    <row r="133" spans="2:7">
      <c r="B133" s="47" t="s">
        <v>1379</v>
      </c>
      <c r="C133" s="215">
        <v>4832</v>
      </c>
      <c r="D133" s="215">
        <v>2964</v>
      </c>
      <c r="E133" s="215">
        <v>4162</v>
      </c>
      <c r="F133" s="215">
        <v>5844</v>
      </c>
      <c r="G133" s="45">
        <v>5901</v>
      </c>
    </row>
    <row r="134" spans="2:7">
      <c r="B134" s="47" t="s">
        <v>1338</v>
      </c>
      <c r="C134" s="215">
        <v>3694</v>
      </c>
      <c r="D134" s="215">
        <v>3451</v>
      </c>
      <c r="E134" s="215">
        <v>3426</v>
      </c>
      <c r="F134" s="215">
        <v>3451</v>
      </c>
      <c r="G134" s="45">
        <v>3491</v>
      </c>
    </row>
    <row r="135" spans="2:7">
      <c r="B135" s="47" t="s">
        <v>1337</v>
      </c>
      <c r="C135" s="215">
        <v>3057</v>
      </c>
      <c r="D135" s="215">
        <v>2012</v>
      </c>
      <c r="E135" s="215">
        <v>2767</v>
      </c>
      <c r="F135" s="215">
        <v>3805</v>
      </c>
      <c r="G135" s="45">
        <v>3842</v>
      </c>
    </row>
    <row r="136" spans="2:7">
      <c r="B136" s="47" t="s">
        <v>1363</v>
      </c>
      <c r="C136" s="215">
        <v>2737</v>
      </c>
      <c r="D136" s="215">
        <v>2406</v>
      </c>
      <c r="E136" s="215">
        <v>2138</v>
      </c>
      <c r="F136" s="215">
        <v>2376</v>
      </c>
      <c r="G136" s="45">
        <v>2376</v>
      </c>
    </row>
    <row r="137" spans="2:7">
      <c r="B137" s="47" t="s">
        <v>1358</v>
      </c>
      <c r="C137" s="215">
        <v>1305</v>
      </c>
      <c r="D137" s="215">
        <v>1055</v>
      </c>
      <c r="E137" s="215">
        <v>1315</v>
      </c>
      <c r="F137" s="215">
        <v>1639</v>
      </c>
      <c r="G137" s="45">
        <v>1641</v>
      </c>
    </row>
    <row r="138" spans="2:7">
      <c r="B138" s="47" t="s">
        <v>1359</v>
      </c>
      <c r="C138" s="215">
        <v>1669</v>
      </c>
      <c r="D138" s="215">
        <v>1648</v>
      </c>
      <c r="E138" s="215">
        <v>1853</v>
      </c>
      <c r="F138" s="215">
        <v>2084</v>
      </c>
      <c r="G138" s="45">
        <v>2087</v>
      </c>
    </row>
    <row r="139" spans="2:7">
      <c r="B139" s="47" t="s">
        <v>1380</v>
      </c>
      <c r="C139" s="215">
        <v>2438</v>
      </c>
      <c r="D139" s="215">
        <v>1486</v>
      </c>
      <c r="E139" s="215">
        <v>2119</v>
      </c>
      <c r="F139" s="215">
        <v>1939</v>
      </c>
      <c r="G139" s="45">
        <v>1960</v>
      </c>
    </row>
    <row r="140" spans="2:7">
      <c r="B140" s="47" t="s">
        <v>1339</v>
      </c>
      <c r="C140" s="215">
        <v>2188</v>
      </c>
      <c r="D140" s="215">
        <v>1408</v>
      </c>
      <c r="E140" s="215">
        <v>2006</v>
      </c>
      <c r="F140" s="215">
        <v>2363</v>
      </c>
      <c r="G140" s="45">
        <v>2383</v>
      </c>
    </row>
    <row r="141" spans="2:7">
      <c r="B141" s="230" t="s">
        <v>1381</v>
      </c>
      <c r="C141" s="269">
        <v>4</v>
      </c>
      <c r="D141" s="269">
        <v>5</v>
      </c>
      <c r="E141" s="269">
        <v>5</v>
      </c>
      <c r="F141" s="269">
        <v>5</v>
      </c>
      <c r="G141" s="269" t="s">
        <v>1382</v>
      </c>
    </row>
    <row r="142" spans="2:7">
      <c r="B142" s="47" t="s">
        <v>1379</v>
      </c>
      <c r="C142" s="216">
        <v>2</v>
      </c>
      <c r="D142" s="216">
        <v>3</v>
      </c>
      <c r="E142" s="216">
        <v>3</v>
      </c>
      <c r="F142" s="216">
        <v>2</v>
      </c>
      <c r="G142" s="216" t="s">
        <v>1314</v>
      </c>
    </row>
    <row r="143" spans="2:7">
      <c r="B143" s="47" t="s">
        <v>1338</v>
      </c>
      <c r="C143" s="216">
        <v>2</v>
      </c>
      <c r="D143" s="216">
        <v>3</v>
      </c>
      <c r="E143" s="216">
        <v>3</v>
      </c>
      <c r="F143" s="216">
        <v>3</v>
      </c>
      <c r="G143" s="216" t="s">
        <v>1313</v>
      </c>
    </row>
    <row r="144" spans="2:7">
      <c r="B144" s="47" t="s">
        <v>1337</v>
      </c>
      <c r="C144" s="216">
        <v>3</v>
      </c>
      <c r="D144" s="216">
        <v>5</v>
      </c>
      <c r="E144" s="216">
        <v>4</v>
      </c>
      <c r="F144" s="216">
        <v>3</v>
      </c>
      <c r="G144" s="216" t="s">
        <v>1316</v>
      </c>
    </row>
    <row r="145" spans="2:7">
      <c r="B145" s="47" t="s">
        <v>1363</v>
      </c>
      <c r="C145" s="216">
        <v>4</v>
      </c>
      <c r="D145" s="216">
        <v>4</v>
      </c>
      <c r="E145" s="216">
        <v>6</v>
      </c>
      <c r="F145" s="216">
        <v>5</v>
      </c>
      <c r="G145" s="216" t="s">
        <v>1382</v>
      </c>
    </row>
    <row r="146" spans="2:7">
      <c r="B146" s="47" t="s">
        <v>1358</v>
      </c>
      <c r="C146" s="216">
        <v>7</v>
      </c>
      <c r="D146" s="216">
        <v>9</v>
      </c>
      <c r="E146" s="216">
        <v>9</v>
      </c>
      <c r="F146" s="216">
        <v>7</v>
      </c>
      <c r="G146" s="216" t="s">
        <v>1383</v>
      </c>
    </row>
    <row r="147" spans="2:7">
      <c r="B147" s="47" t="s">
        <v>1359</v>
      </c>
      <c r="C147" s="216">
        <v>6</v>
      </c>
      <c r="D147" s="216">
        <v>6</v>
      </c>
      <c r="E147" s="216">
        <v>6</v>
      </c>
      <c r="F147" s="216">
        <v>6</v>
      </c>
      <c r="G147" s="216" t="s">
        <v>1375</v>
      </c>
    </row>
    <row r="148" spans="2:7">
      <c r="B148" s="47" t="s">
        <v>1380</v>
      </c>
      <c r="C148" s="216">
        <v>4</v>
      </c>
      <c r="D148" s="216">
        <v>6</v>
      </c>
      <c r="E148" s="216">
        <v>5</v>
      </c>
      <c r="F148" s="216">
        <v>6</v>
      </c>
      <c r="G148" s="216" t="s">
        <v>1375</v>
      </c>
    </row>
    <row r="149" spans="2:7">
      <c r="B149" s="47" t="s">
        <v>1339</v>
      </c>
      <c r="C149" s="216">
        <v>4</v>
      </c>
      <c r="D149" s="216">
        <v>7</v>
      </c>
      <c r="E149" s="216">
        <v>5</v>
      </c>
      <c r="F149" s="216">
        <v>5</v>
      </c>
      <c r="G149" s="216" t="s">
        <v>1370</v>
      </c>
    </row>
    <row r="150" spans="2:7">
      <c r="B150" s="11" t="s">
        <v>1277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04"/>
  <sheetViews>
    <sheetView showGridLines="0" topLeftCell="E157" workbookViewId="0">
      <selection activeCell="C33" sqref="C33"/>
    </sheetView>
  </sheetViews>
  <sheetFormatPr defaultRowHeight="14.5"/>
  <cols>
    <col min="2" max="2" width="56.54296875" customWidth="1"/>
    <col min="3" max="3" width="14.54296875" customWidth="1"/>
    <col min="4" max="4" width="14.7265625" customWidth="1"/>
    <col min="5" max="5" width="13.81640625" customWidth="1"/>
    <col min="6" max="6" width="14" customWidth="1"/>
    <col min="7" max="7" width="12.81640625" customWidth="1"/>
    <col min="8" max="8" width="11.453125" customWidth="1"/>
  </cols>
  <sheetData>
    <row r="2" spans="2:8" ht="15.5">
      <c r="B2" s="3" t="s">
        <v>191</v>
      </c>
      <c r="C2" s="5"/>
      <c r="D2" s="3"/>
    </row>
    <row r="3" spans="2:8" ht="15.5">
      <c r="C3" s="7" t="s">
        <v>314</v>
      </c>
    </row>
    <row r="4" spans="2:8" ht="15.5">
      <c r="B4" s="25" t="s">
        <v>192</v>
      </c>
      <c r="C4" s="5"/>
      <c r="D4" s="6"/>
    </row>
    <row r="5" spans="2:8" ht="15.5">
      <c r="B5" s="4"/>
      <c r="C5" s="5"/>
      <c r="D5" s="6"/>
    </row>
    <row r="6" spans="2:8" ht="15.5">
      <c r="B6" s="6" t="s">
        <v>193</v>
      </c>
    </row>
    <row r="7" spans="2:8" ht="15.5">
      <c r="B7" s="77" t="s">
        <v>1384</v>
      </c>
      <c r="C7" s="71">
        <v>2017</v>
      </c>
      <c r="D7" s="71">
        <v>2018</v>
      </c>
      <c r="E7" s="71">
        <v>2019</v>
      </c>
      <c r="F7" s="71" t="s">
        <v>335</v>
      </c>
      <c r="G7" s="42" t="s">
        <v>256</v>
      </c>
      <c r="H7" s="42" t="s">
        <v>257</v>
      </c>
    </row>
    <row r="8" spans="2:8" ht="15.5">
      <c r="B8" s="104" t="s">
        <v>1385</v>
      </c>
      <c r="C8" s="97">
        <v>2284</v>
      </c>
      <c r="D8" s="97">
        <v>2784</v>
      </c>
      <c r="E8" s="97">
        <v>3074</v>
      </c>
      <c r="F8" s="97">
        <v>3819</v>
      </c>
      <c r="G8" s="44">
        <v>3916</v>
      </c>
      <c r="H8" s="44">
        <v>3973</v>
      </c>
    </row>
    <row r="9" spans="2:8" ht="15.5">
      <c r="B9" s="255" t="s">
        <v>258</v>
      </c>
      <c r="C9" s="128">
        <v>1030</v>
      </c>
      <c r="D9" s="128">
        <v>1277</v>
      </c>
      <c r="E9" s="128">
        <v>1356</v>
      </c>
      <c r="F9" s="128">
        <v>2147</v>
      </c>
      <c r="G9" s="45">
        <v>3016</v>
      </c>
      <c r="H9" s="45">
        <v>3174</v>
      </c>
    </row>
    <row r="10" spans="2:8" ht="15.5">
      <c r="B10" s="255" t="s">
        <v>259</v>
      </c>
      <c r="C10" s="128">
        <v>1606</v>
      </c>
      <c r="D10" s="128">
        <v>1693</v>
      </c>
      <c r="E10" s="128">
        <v>1800</v>
      </c>
      <c r="F10" s="128">
        <v>2460</v>
      </c>
      <c r="G10" s="45">
        <v>2995</v>
      </c>
      <c r="H10" s="45">
        <v>3057</v>
      </c>
    </row>
    <row r="11" spans="2:8" ht="15.5">
      <c r="B11" s="255" t="s">
        <v>1263</v>
      </c>
      <c r="C11" s="132">
        <v>940</v>
      </c>
      <c r="D11" s="128">
        <v>1027</v>
      </c>
      <c r="E11" s="128">
        <v>1078</v>
      </c>
      <c r="F11" s="128">
        <v>1456</v>
      </c>
      <c r="G11" s="45">
        <v>1715</v>
      </c>
      <c r="H11" s="45">
        <v>1718</v>
      </c>
    </row>
    <row r="12" spans="2:8" ht="15.5">
      <c r="B12" s="255" t="s">
        <v>1264</v>
      </c>
      <c r="C12" s="132">
        <v>175</v>
      </c>
      <c r="D12" s="132">
        <v>256</v>
      </c>
      <c r="E12" s="132">
        <v>286</v>
      </c>
      <c r="F12" s="132">
        <v>327</v>
      </c>
      <c r="G12" s="46">
        <v>407</v>
      </c>
      <c r="H12" s="46">
        <v>451</v>
      </c>
    </row>
    <row r="13" spans="2:8" ht="15.5">
      <c r="B13" s="104" t="s">
        <v>1386</v>
      </c>
      <c r="C13" s="97">
        <v>2435</v>
      </c>
      <c r="D13" s="97">
        <v>1787</v>
      </c>
      <c r="E13" s="97">
        <v>1632</v>
      </c>
      <c r="F13" s="97">
        <v>1325</v>
      </c>
      <c r="G13" s="187">
        <v>926</v>
      </c>
      <c r="H13" s="187">
        <v>950</v>
      </c>
    </row>
    <row r="14" spans="2:8" ht="15.5">
      <c r="B14" s="255" t="s">
        <v>258</v>
      </c>
      <c r="C14" s="128">
        <v>2156</v>
      </c>
      <c r="D14" s="128">
        <v>1933</v>
      </c>
      <c r="E14" s="128">
        <v>2045</v>
      </c>
      <c r="F14" s="128">
        <v>1594</v>
      </c>
      <c r="G14" s="46">
        <v>792</v>
      </c>
      <c r="H14" s="46">
        <v>877</v>
      </c>
    </row>
    <row r="15" spans="2:8" ht="15.5">
      <c r="B15" s="255" t="s">
        <v>259</v>
      </c>
      <c r="C15" s="128">
        <v>1271</v>
      </c>
      <c r="D15" s="128">
        <v>1216</v>
      </c>
      <c r="E15" s="128">
        <v>1161</v>
      </c>
      <c r="F15" s="128">
        <v>1231</v>
      </c>
      <c r="G15" s="46">
        <v>836</v>
      </c>
      <c r="H15" s="46">
        <v>875</v>
      </c>
    </row>
    <row r="16" spans="2:8" ht="15.5">
      <c r="B16" s="255" t="s">
        <v>1263</v>
      </c>
      <c r="C16" s="132">
        <v>627</v>
      </c>
      <c r="D16" s="132">
        <v>389</v>
      </c>
      <c r="E16" s="132">
        <v>374</v>
      </c>
      <c r="F16" s="132">
        <v>413</v>
      </c>
      <c r="G16" s="46">
        <v>240</v>
      </c>
      <c r="H16" s="46">
        <v>259</v>
      </c>
    </row>
    <row r="17" spans="2:8" ht="15.5">
      <c r="B17" s="255" t="s">
        <v>1264</v>
      </c>
      <c r="C17" s="132">
        <v>210</v>
      </c>
      <c r="D17" s="132">
        <v>94</v>
      </c>
      <c r="E17" s="132">
        <v>45</v>
      </c>
      <c r="F17" s="132">
        <v>17</v>
      </c>
      <c r="G17" s="46">
        <v>15</v>
      </c>
      <c r="H17" s="46">
        <v>19</v>
      </c>
    </row>
    <row r="18" spans="2:8" ht="15.5">
      <c r="B18" s="256" t="s">
        <v>1387</v>
      </c>
      <c r="C18" s="208">
        <v>0.48399999999999999</v>
      </c>
      <c r="D18" s="208">
        <v>0.60899999999999999</v>
      </c>
      <c r="E18" s="208">
        <v>0.65300000000000002</v>
      </c>
      <c r="F18" s="208">
        <v>0.74299999999999999</v>
      </c>
      <c r="G18" s="208">
        <v>0.80900000000000005</v>
      </c>
      <c r="H18" s="208">
        <v>0.80700000000000005</v>
      </c>
    </row>
    <row r="19" spans="2:8" ht="15.5">
      <c r="B19" s="257" t="s">
        <v>258</v>
      </c>
      <c r="C19" s="118">
        <v>0.32300000000000001</v>
      </c>
      <c r="D19" s="118">
        <v>0.39800000000000002</v>
      </c>
      <c r="E19" s="118">
        <v>0.39900000000000002</v>
      </c>
      <c r="F19" s="118">
        <v>0.57399999999999995</v>
      </c>
      <c r="G19" s="110">
        <v>0.79200000000000004</v>
      </c>
      <c r="H19" s="110">
        <v>0.78400000000000003</v>
      </c>
    </row>
    <row r="20" spans="2:8" ht="15.5">
      <c r="B20" s="257" t="s">
        <v>259</v>
      </c>
      <c r="C20" s="118">
        <v>0.55800000000000005</v>
      </c>
      <c r="D20" s="118">
        <v>0.58199999999999996</v>
      </c>
      <c r="E20" s="118">
        <v>0.60799999999999998</v>
      </c>
      <c r="F20" s="118">
        <v>0.66600000000000004</v>
      </c>
      <c r="G20" s="110">
        <v>0.78200000000000003</v>
      </c>
      <c r="H20" s="110">
        <v>0.77700000000000002</v>
      </c>
    </row>
    <row r="21" spans="2:8" ht="15.5">
      <c r="B21" s="257" t="s">
        <v>1263</v>
      </c>
      <c r="C21" s="118">
        <v>0.6</v>
      </c>
      <c r="D21" s="118">
        <v>0.72499999999999998</v>
      </c>
      <c r="E21" s="118">
        <v>0.74199999999999999</v>
      </c>
      <c r="F21" s="118">
        <v>0.77900000000000003</v>
      </c>
      <c r="G21" s="110">
        <v>0.80900000000000005</v>
      </c>
      <c r="H21" s="110">
        <v>0.80700000000000005</v>
      </c>
    </row>
    <row r="22" spans="2:8" ht="15.5">
      <c r="B22" s="257" t="s">
        <v>1264</v>
      </c>
      <c r="C22" s="118">
        <v>0.45500000000000002</v>
      </c>
      <c r="D22" s="118">
        <v>0.73099999999999998</v>
      </c>
      <c r="E22" s="118">
        <v>0.86399999999999999</v>
      </c>
      <c r="F22" s="118">
        <v>0.95099999999999996</v>
      </c>
      <c r="G22" s="110">
        <v>0.88800000000000001</v>
      </c>
      <c r="H22" s="110">
        <v>0.88100000000000001</v>
      </c>
    </row>
    <row r="23" spans="2:8">
      <c r="B23" s="11" t="s">
        <v>1277</v>
      </c>
    </row>
    <row r="25" spans="2:8" ht="15.5">
      <c r="B25" s="18" t="s">
        <v>194</v>
      </c>
      <c r="C25" s="6"/>
    </row>
    <row r="26" spans="2:8" ht="15.5">
      <c r="B26" s="14"/>
      <c r="C26" s="6"/>
    </row>
    <row r="27" spans="2:8" ht="15.5">
      <c r="B27" s="6" t="s">
        <v>195</v>
      </c>
    </row>
    <row r="28" spans="2:8" ht="15.5">
      <c r="B28" s="77" t="s">
        <v>1388</v>
      </c>
      <c r="C28" s="71">
        <v>2017</v>
      </c>
      <c r="D28" s="71">
        <v>2018</v>
      </c>
      <c r="E28" s="71">
        <v>2019</v>
      </c>
      <c r="F28" s="71" t="s">
        <v>335</v>
      </c>
      <c r="G28" s="42" t="s">
        <v>256</v>
      </c>
      <c r="H28" s="42" t="s">
        <v>257</v>
      </c>
    </row>
    <row r="29" spans="2:8" ht="15.5">
      <c r="B29" s="104" t="s">
        <v>1385</v>
      </c>
      <c r="C29" s="107">
        <v>638</v>
      </c>
      <c r="D29" s="107">
        <v>664</v>
      </c>
      <c r="E29" s="107">
        <v>626</v>
      </c>
      <c r="F29" s="107">
        <v>758</v>
      </c>
      <c r="G29" s="44">
        <v>1589</v>
      </c>
      <c r="H29" s="44">
        <v>1012</v>
      </c>
    </row>
    <row r="30" spans="2:8" ht="15.5">
      <c r="B30" s="255" t="s">
        <v>258</v>
      </c>
      <c r="C30" s="132">
        <v>177</v>
      </c>
      <c r="D30" s="132">
        <v>191</v>
      </c>
      <c r="E30" s="132">
        <v>201</v>
      </c>
      <c r="F30" s="132">
        <v>356</v>
      </c>
      <c r="G30" s="45">
        <v>1299</v>
      </c>
      <c r="H30" s="45">
        <v>887</v>
      </c>
    </row>
    <row r="31" spans="2:8" ht="15.5">
      <c r="B31" s="255" t="s">
        <v>259</v>
      </c>
      <c r="C31" s="132">
        <v>709</v>
      </c>
      <c r="D31" s="132">
        <v>605</v>
      </c>
      <c r="E31" s="132">
        <v>562</v>
      </c>
      <c r="F31" s="132">
        <v>694</v>
      </c>
      <c r="G31" s="45">
        <v>1365</v>
      </c>
      <c r="H31" s="45">
        <v>900</v>
      </c>
    </row>
    <row r="32" spans="2:8" ht="15.5">
      <c r="B32" s="255" t="s">
        <v>1263</v>
      </c>
      <c r="C32" s="132">
        <v>281</v>
      </c>
      <c r="D32" s="132">
        <v>274</v>
      </c>
      <c r="E32" s="132">
        <v>267</v>
      </c>
      <c r="F32" s="132">
        <v>349</v>
      </c>
      <c r="G32" s="46">
        <v>752</v>
      </c>
      <c r="H32" s="46">
        <v>484</v>
      </c>
    </row>
    <row r="33" spans="2:8" ht="15.5">
      <c r="B33" s="255" t="s">
        <v>1264</v>
      </c>
      <c r="C33" s="132">
        <v>23</v>
      </c>
      <c r="D33" s="132">
        <v>42</v>
      </c>
      <c r="E33" s="132">
        <v>33</v>
      </c>
      <c r="F33" s="132">
        <v>41</v>
      </c>
      <c r="G33" s="46">
        <v>115</v>
      </c>
      <c r="H33" s="46">
        <v>73</v>
      </c>
    </row>
    <row r="34" spans="2:8" ht="15.5">
      <c r="B34" s="104" t="s">
        <v>1386</v>
      </c>
      <c r="C34" s="97">
        <v>4081</v>
      </c>
      <c r="D34" s="97">
        <v>3907</v>
      </c>
      <c r="E34" s="97">
        <v>4080</v>
      </c>
      <c r="F34" s="97">
        <v>4386</v>
      </c>
      <c r="G34" s="44">
        <v>3253</v>
      </c>
      <c r="H34" s="44">
        <v>3911</v>
      </c>
    </row>
    <row r="35" spans="2:8" ht="15.5">
      <c r="B35" s="255" t="s">
        <v>258</v>
      </c>
      <c r="C35" s="128">
        <v>3009</v>
      </c>
      <c r="D35" s="128">
        <v>3019</v>
      </c>
      <c r="E35" s="128">
        <v>3200</v>
      </c>
      <c r="F35" s="128">
        <v>3385</v>
      </c>
      <c r="G35" s="45">
        <v>2509</v>
      </c>
      <c r="H35" s="45">
        <v>3164</v>
      </c>
    </row>
    <row r="36" spans="2:8" ht="15.5">
      <c r="B36" s="255" t="s">
        <v>259</v>
      </c>
      <c r="C36" s="128">
        <v>2168</v>
      </c>
      <c r="D36" s="128">
        <v>2304</v>
      </c>
      <c r="E36" s="128">
        <v>2399</v>
      </c>
      <c r="F36" s="128">
        <v>2997</v>
      </c>
      <c r="G36" s="45">
        <v>2466</v>
      </c>
      <c r="H36" s="45">
        <v>3032</v>
      </c>
    </row>
    <row r="37" spans="2:8" ht="15.5">
      <c r="B37" s="255" t="s">
        <v>1263</v>
      </c>
      <c r="C37" s="128">
        <v>1286</v>
      </c>
      <c r="D37" s="128">
        <v>1142</v>
      </c>
      <c r="E37" s="128">
        <v>1185</v>
      </c>
      <c r="F37" s="128">
        <v>1520</v>
      </c>
      <c r="G37" s="45">
        <v>1203</v>
      </c>
      <c r="H37" s="45">
        <v>1493</v>
      </c>
    </row>
    <row r="38" spans="2:8" ht="15.5">
      <c r="B38" s="255" t="s">
        <v>1264</v>
      </c>
      <c r="C38" s="132">
        <v>362</v>
      </c>
      <c r="D38" s="132">
        <v>308</v>
      </c>
      <c r="E38" s="132">
        <v>298</v>
      </c>
      <c r="F38" s="132">
        <v>303</v>
      </c>
      <c r="G38" s="46">
        <v>307</v>
      </c>
      <c r="H38" s="46">
        <v>397</v>
      </c>
    </row>
    <row r="39" spans="2:8" ht="15.5">
      <c r="B39" s="256" t="s">
        <v>1387</v>
      </c>
      <c r="C39" s="208">
        <v>0.13500000000000001</v>
      </c>
      <c r="D39" s="208">
        <v>0.14499999999999999</v>
      </c>
      <c r="E39" s="208">
        <v>0.13300000000000001</v>
      </c>
      <c r="F39" s="208">
        <v>0.14699999999999999</v>
      </c>
      <c r="G39" s="260">
        <v>0.32800000000000001</v>
      </c>
      <c r="H39" s="260">
        <v>0.20599999999999999</v>
      </c>
    </row>
    <row r="40" spans="2:8" ht="15.5">
      <c r="B40" s="257" t="s">
        <v>258</v>
      </c>
      <c r="C40" s="118">
        <v>5.6000000000000001E-2</v>
      </c>
      <c r="D40" s="118">
        <v>0.06</v>
      </c>
      <c r="E40" s="118">
        <v>5.8999999999999997E-2</v>
      </c>
      <c r="F40" s="118">
        <v>9.5000000000000001E-2</v>
      </c>
      <c r="G40" s="168">
        <v>0.34100000000000003</v>
      </c>
      <c r="H40" s="168">
        <v>0.219</v>
      </c>
    </row>
    <row r="41" spans="2:8" ht="15.5">
      <c r="B41" s="257" t="s">
        <v>259</v>
      </c>
      <c r="C41" s="118">
        <v>0.246</v>
      </c>
      <c r="D41" s="118">
        <v>0.20799999999999999</v>
      </c>
      <c r="E41" s="118">
        <v>0.19</v>
      </c>
      <c r="F41" s="118">
        <v>0.188</v>
      </c>
      <c r="G41" s="168">
        <v>0.35599999999999998</v>
      </c>
      <c r="H41" s="168">
        <v>0.22900000000000001</v>
      </c>
    </row>
    <row r="42" spans="2:8" ht="15.5">
      <c r="B42" s="257" t="s">
        <v>1263</v>
      </c>
      <c r="C42" s="118">
        <v>0.17899999999999999</v>
      </c>
      <c r="D42" s="118">
        <v>0.19400000000000001</v>
      </c>
      <c r="E42" s="118">
        <v>0.184</v>
      </c>
      <c r="F42" s="118">
        <v>0.187</v>
      </c>
      <c r="G42" s="168">
        <v>0.38500000000000001</v>
      </c>
      <c r="H42" s="168">
        <v>0.245</v>
      </c>
    </row>
    <row r="43" spans="2:8" ht="15.5">
      <c r="B43" s="257" t="s">
        <v>1264</v>
      </c>
      <c r="C43" s="118">
        <v>0.06</v>
      </c>
      <c r="D43" s="118">
        <v>0.12</v>
      </c>
      <c r="E43" s="118">
        <v>0.1</v>
      </c>
      <c r="F43" s="118">
        <v>0.11899999999999999</v>
      </c>
      <c r="G43" s="168">
        <v>0.27300000000000002</v>
      </c>
      <c r="H43" s="168">
        <v>0.155</v>
      </c>
    </row>
    <row r="44" spans="2:8">
      <c r="B44" s="11" t="s">
        <v>1277</v>
      </c>
    </row>
    <row r="46" spans="2:8" ht="15.5">
      <c r="B46" s="88" t="s">
        <v>1389</v>
      </c>
    </row>
    <row r="47" spans="2:8" ht="15.5">
      <c r="B47" s="77" t="s">
        <v>1390</v>
      </c>
      <c r="C47" s="71">
        <v>2017</v>
      </c>
      <c r="D47" s="71">
        <v>2018</v>
      </c>
      <c r="E47" s="71">
        <v>2019</v>
      </c>
      <c r="F47" s="71" t="s">
        <v>335</v>
      </c>
      <c r="G47" s="71" t="s">
        <v>256</v>
      </c>
      <c r="H47" s="71" t="s">
        <v>257</v>
      </c>
    </row>
    <row r="48" spans="2:8" ht="15.5">
      <c r="B48" s="104" t="s">
        <v>1385</v>
      </c>
      <c r="C48" s="107">
        <v>545</v>
      </c>
      <c r="D48" s="107">
        <v>842</v>
      </c>
      <c r="E48" s="107">
        <v>885</v>
      </c>
      <c r="F48" s="107">
        <v>762</v>
      </c>
      <c r="G48" s="97">
        <v>1282</v>
      </c>
      <c r="H48" s="97">
        <v>646</v>
      </c>
    </row>
    <row r="49" spans="2:8" ht="15.5">
      <c r="B49" s="255" t="s">
        <v>258</v>
      </c>
      <c r="C49" s="132">
        <v>78</v>
      </c>
      <c r="D49" s="132">
        <v>120</v>
      </c>
      <c r="E49" s="132">
        <v>124</v>
      </c>
      <c r="F49" s="132">
        <v>144</v>
      </c>
      <c r="G49" s="32">
        <v>832</v>
      </c>
      <c r="H49" s="32">
        <v>310</v>
      </c>
    </row>
    <row r="50" spans="2:8" ht="15.5">
      <c r="B50" s="255" t="s">
        <v>259</v>
      </c>
      <c r="C50" s="132">
        <v>138</v>
      </c>
      <c r="D50" s="132">
        <v>159</v>
      </c>
      <c r="E50" s="132">
        <v>169</v>
      </c>
      <c r="F50" s="132">
        <v>144</v>
      </c>
      <c r="G50" s="32">
        <v>850</v>
      </c>
      <c r="H50" s="32">
        <v>301</v>
      </c>
    </row>
    <row r="51" spans="2:8" ht="15.5">
      <c r="B51" s="255" t="s">
        <v>1263</v>
      </c>
      <c r="C51" s="132">
        <v>281</v>
      </c>
      <c r="D51" s="132">
        <v>274</v>
      </c>
      <c r="E51" s="132">
        <v>281</v>
      </c>
      <c r="F51" s="132">
        <v>240</v>
      </c>
      <c r="G51" s="32">
        <v>647</v>
      </c>
      <c r="H51" s="32">
        <v>360</v>
      </c>
    </row>
    <row r="52" spans="2:8" ht="15.5">
      <c r="B52" s="255" t="s">
        <v>1264</v>
      </c>
      <c r="C52" s="132">
        <v>81</v>
      </c>
      <c r="D52" s="132">
        <v>158</v>
      </c>
      <c r="E52" s="132">
        <v>154</v>
      </c>
      <c r="F52" s="132">
        <v>133</v>
      </c>
      <c r="G52" s="32">
        <v>187</v>
      </c>
      <c r="H52" s="32">
        <v>150</v>
      </c>
    </row>
    <row r="53" spans="2:8" ht="15.5">
      <c r="B53" s="104" t="s">
        <v>1386</v>
      </c>
      <c r="C53" s="97">
        <v>4174</v>
      </c>
      <c r="D53" s="97">
        <v>3729</v>
      </c>
      <c r="E53" s="97">
        <v>3821</v>
      </c>
      <c r="F53" s="97">
        <v>4382</v>
      </c>
      <c r="G53" s="97">
        <v>3560</v>
      </c>
      <c r="H53" s="97">
        <v>4277</v>
      </c>
    </row>
    <row r="54" spans="2:8" ht="15.5">
      <c r="B54" s="255" t="s">
        <v>258</v>
      </c>
      <c r="C54" s="128">
        <v>3108</v>
      </c>
      <c r="D54" s="128">
        <v>3090</v>
      </c>
      <c r="E54" s="128">
        <v>3277</v>
      </c>
      <c r="F54" s="128">
        <v>3597</v>
      </c>
      <c r="G54" s="35">
        <v>2976</v>
      </c>
      <c r="H54" s="35">
        <v>3741</v>
      </c>
    </row>
    <row r="55" spans="2:8" ht="15.5">
      <c r="B55" s="255" t="s">
        <v>259</v>
      </c>
      <c r="C55" s="128">
        <v>2739</v>
      </c>
      <c r="D55" s="128">
        <v>2750</v>
      </c>
      <c r="E55" s="128">
        <v>2792</v>
      </c>
      <c r="F55" s="128">
        <v>3547</v>
      </c>
      <c r="G55" s="35">
        <v>2981</v>
      </c>
      <c r="H55" s="35">
        <v>3631</v>
      </c>
    </row>
    <row r="56" spans="2:8" ht="15.5">
      <c r="B56" s="255" t="s">
        <v>1263</v>
      </c>
      <c r="C56" s="128">
        <v>1286</v>
      </c>
      <c r="D56" s="128">
        <v>1142</v>
      </c>
      <c r="E56" s="128">
        <v>1171</v>
      </c>
      <c r="F56" s="128">
        <v>1629</v>
      </c>
      <c r="G56" s="35">
        <v>1308</v>
      </c>
      <c r="H56" s="35">
        <v>1617</v>
      </c>
    </row>
    <row r="57" spans="2:8" ht="15.5">
      <c r="B57" s="255" t="s">
        <v>1264</v>
      </c>
      <c r="C57" s="132">
        <v>304</v>
      </c>
      <c r="D57" s="132">
        <v>192</v>
      </c>
      <c r="E57" s="132">
        <v>177</v>
      </c>
      <c r="F57" s="132">
        <v>211</v>
      </c>
      <c r="G57" s="32">
        <v>235</v>
      </c>
      <c r="H57" s="32">
        <v>320</v>
      </c>
    </row>
    <row r="58" spans="2:8" ht="15.5">
      <c r="B58" s="104" t="s">
        <v>1387</v>
      </c>
      <c r="C58" s="208">
        <v>0.11600000000000001</v>
      </c>
      <c r="D58" s="208">
        <v>0.184</v>
      </c>
      <c r="E58" s="208">
        <v>0.188</v>
      </c>
      <c r="F58" s="208">
        <v>0.14799999999999999</v>
      </c>
      <c r="G58" s="188">
        <v>0.26500000000000001</v>
      </c>
      <c r="H58" s="188">
        <v>0.13100000000000001</v>
      </c>
    </row>
    <row r="59" spans="2:8" ht="15.5">
      <c r="B59" s="255" t="s">
        <v>258</v>
      </c>
      <c r="C59" s="118">
        <v>2.4E-2</v>
      </c>
      <c r="D59" s="118">
        <v>3.6999999999999998E-2</v>
      </c>
      <c r="E59" s="118">
        <v>3.5999999999999997E-2</v>
      </c>
      <c r="F59" s="118">
        <v>3.7999999999999999E-2</v>
      </c>
      <c r="G59" s="169">
        <v>0.218</v>
      </c>
      <c r="H59" s="169">
        <v>7.6999999999999999E-2</v>
      </c>
    </row>
    <row r="60" spans="2:8" ht="15.5">
      <c r="B60" s="255" t="s">
        <v>259</v>
      </c>
      <c r="C60" s="118">
        <v>4.8000000000000001E-2</v>
      </c>
      <c r="D60" s="118">
        <v>5.5E-2</v>
      </c>
      <c r="E60" s="118">
        <v>5.7000000000000002E-2</v>
      </c>
      <c r="F60" s="118">
        <v>3.9E-2</v>
      </c>
      <c r="G60" s="169">
        <v>0.222</v>
      </c>
      <c r="H60" s="169">
        <v>7.6999999999999999E-2</v>
      </c>
    </row>
    <row r="61" spans="2:8" ht="15.5">
      <c r="B61" s="255" t="s">
        <v>1263</v>
      </c>
      <c r="C61" s="118">
        <v>0.17899999999999999</v>
      </c>
      <c r="D61" s="118">
        <v>0.19400000000000001</v>
      </c>
      <c r="E61" s="118">
        <v>0.19400000000000001</v>
      </c>
      <c r="F61" s="118">
        <v>0.128</v>
      </c>
      <c r="G61" s="169">
        <v>0.33100000000000002</v>
      </c>
      <c r="H61" s="169">
        <v>0.182</v>
      </c>
    </row>
    <row r="62" spans="2:8" ht="15.5">
      <c r="B62" s="255" t="s">
        <v>1264</v>
      </c>
      <c r="C62" s="118">
        <v>0.21</v>
      </c>
      <c r="D62" s="118">
        <v>0.45100000000000001</v>
      </c>
      <c r="E62" s="118">
        <v>0.46500000000000002</v>
      </c>
      <c r="F62" s="118">
        <v>0.38700000000000001</v>
      </c>
      <c r="G62" s="169">
        <v>0.443</v>
      </c>
      <c r="H62" s="169">
        <v>0.31900000000000001</v>
      </c>
    </row>
    <row r="63" spans="2:8">
      <c r="B63" s="50" t="s">
        <v>431</v>
      </c>
    </row>
    <row r="64" spans="2:8" ht="15.5">
      <c r="B64" s="7" t="s">
        <v>314</v>
      </c>
    </row>
    <row r="65" spans="2:8" ht="15.5">
      <c r="B65" s="88" t="s">
        <v>1391</v>
      </c>
    </row>
    <row r="66" spans="2:8" ht="15.5">
      <c r="B66" s="77" t="s">
        <v>1392</v>
      </c>
      <c r="C66" s="71">
        <v>2017</v>
      </c>
      <c r="D66" s="71">
        <v>2018</v>
      </c>
      <c r="E66" s="71">
        <v>2019</v>
      </c>
      <c r="F66" s="71" t="s">
        <v>335</v>
      </c>
      <c r="G66" s="71" t="s">
        <v>256</v>
      </c>
      <c r="H66" s="71" t="s">
        <v>257</v>
      </c>
    </row>
    <row r="67" spans="2:8" ht="15.5">
      <c r="B67" s="104" t="s">
        <v>1385</v>
      </c>
      <c r="C67" s="107">
        <v>66</v>
      </c>
      <c r="D67" s="107">
        <v>65</v>
      </c>
      <c r="E67" s="107">
        <v>75</v>
      </c>
      <c r="F67" s="107">
        <v>51</v>
      </c>
      <c r="G67" s="107">
        <v>63</v>
      </c>
      <c r="H67" s="107">
        <v>78</v>
      </c>
    </row>
    <row r="68" spans="2:8" ht="15.5">
      <c r="B68" s="255" t="s">
        <v>258</v>
      </c>
      <c r="C68" s="132">
        <v>4</v>
      </c>
      <c r="D68" s="132">
        <v>11</v>
      </c>
      <c r="E68" s="132">
        <v>11</v>
      </c>
      <c r="F68" s="132">
        <v>5</v>
      </c>
      <c r="G68" s="132">
        <v>9</v>
      </c>
      <c r="H68" s="132">
        <v>16</v>
      </c>
    </row>
    <row r="69" spans="2:8" ht="15.5">
      <c r="B69" s="255" t="s">
        <v>259</v>
      </c>
      <c r="C69" s="132">
        <v>8</v>
      </c>
      <c r="D69" s="132">
        <v>11</v>
      </c>
      <c r="E69" s="132">
        <v>5</v>
      </c>
      <c r="F69" s="132">
        <v>6</v>
      </c>
      <c r="G69" s="132">
        <v>7</v>
      </c>
      <c r="H69" s="132">
        <v>8</v>
      </c>
    </row>
    <row r="70" spans="2:8" ht="15.5">
      <c r="B70" s="255" t="s">
        <v>1263</v>
      </c>
      <c r="C70" s="132">
        <v>61</v>
      </c>
      <c r="D70" s="132">
        <v>42</v>
      </c>
      <c r="E70" s="132">
        <v>41</v>
      </c>
      <c r="F70" s="132">
        <v>30</v>
      </c>
      <c r="G70" s="132">
        <v>38</v>
      </c>
      <c r="H70" s="132">
        <v>48</v>
      </c>
    </row>
    <row r="71" spans="2:8" ht="15.5">
      <c r="B71" s="255" t="s">
        <v>1264</v>
      </c>
      <c r="C71" s="132">
        <v>5</v>
      </c>
      <c r="D71" s="132">
        <v>7</v>
      </c>
      <c r="E71" s="132">
        <v>10</v>
      </c>
      <c r="F71" s="132">
        <v>7</v>
      </c>
      <c r="G71" s="132">
        <v>8</v>
      </c>
      <c r="H71" s="132">
        <v>9</v>
      </c>
    </row>
    <row r="72" spans="2:8" ht="15.5">
      <c r="B72" s="104" t="s">
        <v>1386</v>
      </c>
      <c r="C72" s="97">
        <v>4653</v>
      </c>
      <c r="D72" s="97">
        <v>4506</v>
      </c>
      <c r="E72" s="97">
        <v>4631</v>
      </c>
      <c r="F72" s="97">
        <v>5093</v>
      </c>
      <c r="G72" s="97">
        <v>4779</v>
      </c>
      <c r="H72" s="97">
        <v>4845</v>
      </c>
    </row>
    <row r="73" spans="2:8" ht="15.5">
      <c r="B73" s="255" t="s">
        <v>258</v>
      </c>
      <c r="C73" s="128">
        <v>3182</v>
      </c>
      <c r="D73" s="128">
        <v>3199</v>
      </c>
      <c r="E73" s="128">
        <v>3390</v>
      </c>
      <c r="F73" s="128">
        <v>3736</v>
      </c>
      <c r="G73" s="128">
        <v>3799</v>
      </c>
      <c r="H73" s="128">
        <v>4035</v>
      </c>
    </row>
    <row r="74" spans="2:8" ht="15.5">
      <c r="B74" s="255" t="s">
        <v>259</v>
      </c>
      <c r="C74" s="128">
        <v>2869</v>
      </c>
      <c r="D74" s="128">
        <v>2898</v>
      </c>
      <c r="E74" s="128">
        <v>2956</v>
      </c>
      <c r="F74" s="128">
        <v>3685</v>
      </c>
      <c r="G74" s="128">
        <v>3824</v>
      </c>
      <c r="H74" s="128">
        <v>3924</v>
      </c>
    </row>
    <row r="75" spans="2:8" ht="15.5">
      <c r="B75" s="255" t="s">
        <v>1263</v>
      </c>
      <c r="C75" s="128">
        <v>1506</v>
      </c>
      <c r="D75" s="128">
        <v>1374</v>
      </c>
      <c r="E75" s="128">
        <v>1411</v>
      </c>
      <c r="F75" s="128">
        <v>1839</v>
      </c>
      <c r="G75" s="132">
        <v>937</v>
      </c>
      <c r="H75" s="132">
        <v>1929</v>
      </c>
    </row>
    <row r="76" spans="2:8" ht="15.5">
      <c r="B76" s="255" t="s">
        <v>1264</v>
      </c>
      <c r="C76" s="132">
        <v>380</v>
      </c>
      <c r="D76" s="132">
        <v>343</v>
      </c>
      <c r="E76" s="132">
        <v>321</v>
      </c>
      <c r="F76" s="132">
        <v>337</v>
      </c>
      <c r="G76" s="132">
        <v>414</v>
      </c>
      <c r="H76" s="132">
        <v>461</v>
      </c>
    </row>
    <row r="77" spans="2:8" ht="15.5">
      <c r="B77" s="104" t="s">
        <v>1387</v>
      </c>
      <c r="C77" s="208">
        <v>1.4E-2</v>
      </c>
      <c r="D77" s="208">
        <v>1.4E-2</v>
      </c>
      <c r="E77" s="208">
        <v>1.6E-2</v>
      </c>
      <c r="F77" s="208">
        <v>0.01</v>
      </c>
      <c r="G77" s="208">
        <v>1.2999999999999999E-2</v>
      </c>
      <c r="H77" s="208">
        <v>1.6E-2</v>
      </c>
    </row>
    <row r="78" spans="2:8" ht="15.5">
      <c r="B78" s="255" t="s">
        <v>258</v>
      </c>
      <c r="C78" s="118">
        <v>1E-3</v>
      </c>
      <c r="D78" s="118">
        <v>3.0000000000000001E-3</v>
      </c>
      <c r="E78" s="118">
        <v>3.0000000000000001E-3</v>
      </c>
      <c r="F78" s="118">
        <v>1E-3</v>
      </c>
      <c r="G78" s="118">
        <v>2E-3</v>
      </c>
      <c r="H78" s="118">
        <v>4.0000000000000001E-3</v>
      </c>
    </row>
    <row r="79" spans="2:8" ht="15.5">
      <c r="B79" s="255" t="s">
        <v>259</v>
      </c>
      <c r="C79" s="118">
        <v>3.0000000000000001E-3</v>
      </c>
      <c r="D79" s="118">
        <v>4.0000000000000001E-3</v>
      </c>
      <c r="E79" s="118">
        <v>2E-3</v>
      </c>
      <c r="F79" s="118">
        <v>2E-3</v>
      </c>
      <c r="G79" s="118">
        <v>2E-3</v>
      </c>
      <c r="H79" s="118">
        <v>2E-3</v>
      </c>
    </row>
    <row r="80" spans="2:8" ht="15.5">
      <c r="B80" s="255" t="s">
        <v>1263</v>
      </c>
      <c r="C80" s="118">
        <v>3.9E-2</v>
      </c>
      <c r="D80" s="118">
        <v>0.03</v>
      </c>
      <c r="E80" s="118">
        <v>2.8000000000000001E-2</v>
      </c>
      <c r="F80" s="118">
        <v>1.6E-2</v>
      </c>
      <c r="G80" s="118">
        <v>3.9E-2</v>
      </c>
      <c r="H80" s="118">
        <v>2.4E-2</v>
      </c>
    </row>
    <row r="81" spans="2:8" ht="15.5">
      <c r="B81" s="255" t="s">
        <v>1264</v>
      </c>
      <c r="C81" s="118">
        <v>1.2999999999999999E-2</v>
      </c>
      <c r="D81" s="118">
        <v>0.02</v>
      </c>
      <c r="E81" s="118">
        <v>0.03</v>
      </c>
      <c r="F81" s="118">
        <v>0.02</v>
      </c>
      <c r="G81" s="118">
        <v>1.9E-2</v>
      </c>
      <c r="H81" s="118">
        <v>1.9E-2</v>
      </c>
    </row>
    <row r="82" spans="2:8">
      <c r="B82" s="279" t="s">
        <v>431</v>
      </c>
    </row>
    <row r="84" spans="2:8" ht="15.5">
      <c r="B84" s="18" t="s">
        <v>198</v>
      </c>
      <c r="C84" s="6"/>
    </row>
    <row r="85" spans="2:8" ht="15.5">
      <c r="B85" s="14"/>
      <c r="C85" s="6"/>
    </row>
    <row r="86" spans="2:8" ht="15.5">
      <c r="B86" s="6" t="s">
        <v>199</v>
      </c>
    </row>
    <row r="87" spans="2:8" ht="15.5">
      <c r="B87" s="95" t="s">
        <v>1393</v>
      </c>
      <c r="C87" s="71">
        <v>2017</v>
      </c>
      <c r="D87" s="71">
        <v>2018</v>
      </c>
      <c r="E87" s="71">
        <v>2019</v>
      </c>
      <c r="F87" s="71" t="s">
        <v>335</v>
      </c>
      <c r="G87" s="71" t="s">
        <v>256</v>
      </c>
      <c r="H87" s="71" t="s">
        <v>257</v>
      </c>
    </row>
    <row r="88" spans="2:8" ht="15.5">
      <c r="B88" s="96" t="s">
        <v>1394</v>
      </c>
      <c r="C88" s="97">
        <v>1925</v>
      </c>
      <c r="D88" s="97">
        <v>2477</v>
      </c>
      <c r="E88" s="97">
        <v>2724</v>
      </c>
      <c r="F88" s="97">
        <v>3419</v>
      </c>
      <c r="G88" s="44">
        <v>3950</v>
      </c>
      <c r="H88" s="44">
        <v>4025</v>
      </c>
    </row>
    <row r="89" spans="2:8" ht="15.5">
      <c r="B89" s="207" t="s">
        <v>258</v>
      </c>
      <c r="C89" s="132">
        <v>766</v>
      </c>
      <c r="D89" s="132">
        <v>942</v>
      </c>
      <c r="E89" s="132">
        <v>991</v>
      </c>
      <c r="F89" s="128">
        <v>1733</v>
      </c>
      <c r="G89" s="45">
        <v>3058</v>
      </c>
      <c r="H89" s="45">
        <v>3238</v>
      </c>
    </row>
    <row r="90" spans="2:8" ht="15.5">
      <c r="B90" s="207" t="s">
        <v>259</v>
      </c>
      <c r="C90" s="128">
        <v>1525</v>
      </c>
      <c r="D90" s="128">
        <v>1617</v>
      </c>
      <c r="E90" s="128">
        <v>1603</v>
      </c>
      <c r="F90" s="128">
        <v>2227</v>
      </c>
      <c r="G90" s="45">
        <v>3068</v>
      </c>
      <c r="H90" s="45">
        <v>3147</v>
      </c>
    </row>
    <row r="91" spans="2:8" ht="15.5">
      <c r="B91" s="207" t="s">
        <v>1263</v>
      </c>
      <c r="C91" s="132">
        <v>743</v>
      </c>
      <c r="D91" s="132">
        <v>807</v>
      </c>
      <c r="E91" s="132">
        <v>872</v>
      </c>
      <c r="F91" s="128">
        <v>1297</v>
      </c>
      <c r="G91" s="45">
        <v>1681</v>
      </c>
      <c r="H91" s="45">
        <v>1705</v>
      </c>
    </row>
    <row r="92" spans="2:8" ht="15.5">
      <c r="B92" s="207" t="s">
        <v>1264</v>
      </c>
      <c r="C92" s="132">
        <v>149</v>
      </c>
      <c r="D92" s="132">
        <v>262</v>
      </c>
      <c r="E92" s="132">
        <v>292</v>
      </c>
      <c r="F92" s="132">
        <v>309</v>
      </c>
      <c r="G92" s="46">
        <v>375</v>
      </c>
      <c r="H92" s="46">
        <v>422</v>
      </c>
    </row>
    <row r="93" spans="2:8" ht="15.5">
      <c r="B93" s="96" t="s">
        <v>1395</v>
      </c>
      <c r="C93" s="97">
        <v>2794</v>
      </c>
      <c r="D93" s="97">
        <v>2094</v>
      </c>
      <c r="E93" s="97">
        <v>1982</v>
      </c>
      <c r="F93" s="97">
        <v>1725</v>
      </c>
      <c r="G93" s="187">
        <v>892</v>
      </c>
      <c r="H93" s="187">
        <v>898</v>
      </c>
    </row>
    <row r="94" spans="2:8" ht="15.5">
      <c r="B94" s="207" t="s">
        <v>258</v>
      </c>
      <c r="C94" s="128">
        <v>2420</v>
      </c>
      <c r="D94" s="128">
        <v>2268</v>
      </c>
      <c r="E94" s="128">
        <v>2410</v>
      </c>
      <c r="F94" s="128">
        <v>2008</v>
      </c>
      <c r="G94" s="46">
        <v>750</v>
      </c>
      <c r="H94" s="46">
        <v>813</v>
      </c>
    </row>
    <row r="95" spans="2:8" ht="15.5">
      <c r="B95" s="207" t="s">
        <v>259</v>
      </c>
      <c r="C95" s="128">
        <v>1352</v>
      </c>
      <c r="D95" s="128">
        <v>1292</v>
      </c>
      <c r="E95" s="128">
        <v>1358</v>
      </c>
      <c r="F95" s="128">
        <v>1464</v>
      </c>
      <c r="G95" s="46">
        <v>763</v>
      </c>
      <c r="H95" s="46">
        <v>785</v>
      </c>
    </row>
    <row r="96" spans="2:8" ht="15.5">
      <c r="B96" s="207" t="s">
        <v>1263</v>
      </c>
      <c r="C96" s="132">
        <v>824</v>
      </c>
      <c r="D96" s="132">
        <v>609</v>
      </c>
      <c r="E96" s="132">
        <v>580</v>
      </c>
      <c r="F96" s="132">
        <v>572</v>
      </c>
      <c r="G96" s="46">
        <v>277</v>
      </c>
      <c r="H96" s="46">
        <v>272</v>
      </c>
    </row>
    <row r="97" spans="2:9" ht="15.5">
      <c r="B97" s="207" t="s">
        <v>1264</v>
      </c>
      <c r="C97" s="132">
        <v>236</v>
      </c>
      <c r="D97" s="132">
        <v>88</v>
      </c>
      <c r="E97" s="132">
        <v>39</v>
      </c>
      <c r="F97" s="132">
        <v>35</v>
      </c>
      <c r="G97" s="46">
        <v>47</v>
      </c>
      <c r="H97" s="46">
        <v>48</v>
      </c>
    </row>
    <row r="98" spans="2:9" ht="15.5">
      <c r="B98" s="96" t="s">
        <v>1396</v>
      </c>
      <c r="C98" s="208">
        <v>0.40799999999999997</v>
      </c>
      <c r="D98" s="208">
        <v>0.54200000000000004</v>
      </c>
      <c r="E98" s="208">
        <v>0.57899999999999996</v>
      </c>
      <c r="F98" s="208">
        <v>0.66500000000000004</v>
      </c>
      <c r="G98" s="260">
        <v>0.81599999999999995</v>
      </c>
      <c r="H98" s="260">
        <v>0.81799999999999995</v>
      </c>
      <c r="I98" t="s">
        <v>704</v>
      </c>
    </row>
    <row r="99" spans="2:9" ht="15.5">
      <c r="B99" s="207" t="s">
        <v>258</v>
      </c>
      <c r="C99" s="118">
        <v>0.24</v>
      </c>
      <c r="D99" s="118">
        <v>0.29299999999999998</v>
      </c>
      <c r="E99" s="118">
        <v>0.29099999999999998</v>
      </c>
      <c r="F99" s="118">
        <v>0.46300000000000002</v>
      </c>
      <c r="G99" s="168">
        <v>0.80300000000000005</v>
      </c>
      <c r="H99" s="168">
        <v>0.79900000000000004</v>
      </c>
    </row>
    <row r="100" spans="2:9" ht="15.5">
      <c r="B100" s="207" t="s">
        <v>259</v>
      </c>
      <c r="C100" s="118">
        <v>0.53</v>
      </c>
      <c r="D100" s="118">
        <v>0.55600000000000005</v>
      </c>
      <c r="E100" s="118">
        <v>0.54100000000000004</v>
      </c>
      <c r="F100" s="118">
        <v>0.60299999999999998</v>
      </c>
      <c r="G100" s="168">
        <v>0.80100000000000005</v>
      </c>
      <c r="H100" s="168">
        <v>0.8</v>
      </c>
    </row>
    <row r="101" spans="2:9" ht="15.5">
      <c r="B101" s="207" t="s">
        <v>1263</v>
      </c>
      <c r="C101" s="118">
        <v>0.47399999999999998</v>
      </c>
      <c r="D101" s="118">
        <v>0.56999999999999995</v>
      </c>
      <c r="E101" s="118">
        <v>0.60099999999999998</v>
      </c>
      <c r="F101" s="118">
        <v>0.69399999999999995</v>
      </c>
      <c r="G101" s="168">
        <v>0.85899999999999999</v>
      </c>
      <c r="H101" s="168">
        <v>0.86199999999999999</v>
      </c>
    </row>
    <row r="102" spans="2:9" ht="15.5">
      <c r="B102" s="207" t="s">
        <v>1264</v>
      </c>
      <c r="C102" s="118">
        <v>0.38700000000000001</v>
      </c>
      <c r="D102" s="118">
        <v>0.749</v>
      </c>
      <c r="E102" s="118">
        <v>0.88200000000000001</v>
      </c>
      <c r="F102" s="118">
        <v>0.89800000000000002</v>
      </c>
      <c r="G102" s="168">
        <v>0.88900000000000001</v>
      </c>
      <c r="H102" s="168">
        <v>0.89800000000000002</v>
      </c>
    </row>
    <row r="103" spans="2:9">
      <c r="B103" s="11" t="s">
        <v>1277</v>
      </c>
      <c r="D103" s="280"/>
    </row>
    <row r="105" spans="2:9" ht="15.5">
      <c r="B105" s="6" t="s">
        <v>200</v>
      </c>
    </row>
    <row r="106" spans="2:9" ht="15.5">
      <c r="B106" s="77" t="s">
        <v>1397</v>
      </c>
      <c r="C106" s="71">
        <v>2017</v>
      </c>
      <c r="D106" s="71">
        <v>2018</v>
      </c>
      <c r="E106" s="71">
        <v>2019</v>
      </c>
      <c r="F106" s="71" t="s">
        <v>335</v>
      </c>
      <c r="G106" s="71" t="s">
        <v>256</v>
      </c>
      <c r="H106" s="71" t="s">
        <v>257</v>
      </c>
    </row>
    <row r="107" spans="2:9" ht="16.5" customHeight="1">
      <c r="B107" s="104" t="s">
        <v>1398</v>
      </c>
      <c r="C107" s="97">
        <v>1717</v>
      </c>
      <c r="D107" s="97">
        <v>2578</v>
      </c>
      <c r="E107" s="97">
        <v>2730</v>
      </c>
      <c r="F107" s="97">
        <v>2511</v>
      </c>
      <c r="G107" s="44">
        <v>2859</v>
      </c>
      <c r="H107" s="44">
        <v>3237</v>
      </c>
    </row>
    <row r="108" spans="2:9" ht="16.5" customHeight="1">
      <c r="B108" s="255" t="s">
        <v>258</v>
      </c>
      <c r="C108" s="132">
        <v>612</v>
      </c>
      <c r="D108" s="132">
        <v>883</v>
      </c>
      <c r="E108" s="132">
        <v>921</v>
      </c>
      <c r="F108" s="128">
        <v>1176</v>
      </c>
      <c r="G108" s="45">
        <v>2164</v>
      </c>
      <c r="H108" s="45">
        <v>2938</v>
      </c>
    </row>
    <row r="109" spans="2:9" ht="16.5" customHeight="1">
      <c r="B109" s="255" t="s">
        <v>259</v>
      </c>
      <c r="C109" s="128">
        <v>1310</v>
      </c>
      <c r="D109" s="128">
        <v>1559</v>
      </c>
      <c r="E109" s="128">
        <v>1535</v>
      </c>
      <c r="F109" s="128">
        <v>1543</v>
      </c>
      <c r="G109" s="45">
        <v>2130</v>
      </c>
      <c r="H109" s="45">
        <v>2714</v>
      </c>
    </row>
    <row r="110" spans="2:9" ht="16.5" customHeight="1">
      <c r="B110" s="255" t="s">
        <v>1263</v>
      </c>
      <c r="C110" s="132">
        <v>802</v>
      </c>
      <c r="D110" s="132">
        <v>978</v>
      </c>
      <c r="E110" s="128">
        <v>1013</v>
      </c>
      <c r="F110" s="132">
        <v>836</v>
      </c>
      <c r="G110" s="45">
        <v>1233</v>
      </c>
      <c r="H110" s="45">
        <v>1714</v>
      </c>
    </row>
    <row r="111" spans="2:9" ht="16.5" customHeight="1">
      <c r="B111" s="255" t="s">
        <v>1264</v>
      </c>
      <c r="C111" s="132">
        <v>114</v>
      </c>
      <c r="D111" s="132">
        <v>264</v>
      </c>
      <c r="E111" s="132">
        <v>276</v>
      </c>
      <c r="F111" s="132">
        <v>266</v>
      </c>
      <c r="G111" s="46">
        <v>310</v>
      </c>
      <c r="H111" s="46">
        <v>356</v>
      </c>
    </row>
    <row r="112" spans="2:9" ht="16.5" customHeight="1">
      <c r="B112" s="104" t="s">
        <v>1399</v>
      </c>
      <c r="C112" s="97">
        <v>3002</v>
      </c>
      <c r="D112" s="97">
        <v>1993</v>
      </c>
      <c r="E112" s="97">
        <v>1976</v>
      </c>
      <c r="F112" s="97">
        <v>2633</v>
      </c>
      <c r="G112" s="44">
        <v>1983</v>
      </c>
      <c r="H112" s="44">
        <v>1686</v>
      </c>
    </row>
    <row r="113" spans="2:8" ht="16.5" customHeight="1">
      <c r="B113" s="255" t="s">
        <v>258</v>
      </c>
      <c r="C113" s="128">
        <v>2574</v>
      </c>
      <c r="D113" s="128">
        <v>2327</v>
      </c>
      <c r="E113" s="128">
        <v>2480</v>
      </c>
      <c r="F113" s="128">
        <v>2565</v>
      </c>
      <c r="G113" s="45">
        <v>1644</v>
      </c>
      <c r="H113" s="45">
        <v>1113</v>
      </c>
    </row>
    <row r="114" spans="2:8" ht="16.5" customHeight="1">
      <c r="B114" s="255" t="s">
        <v>259</v>
      </c>
      <c r="C114" s="128">
        <v>1567</v>
      </c>
      <c r="D114" s="128">
        <v>1350</v>
      </c>
      <c r="E114" s="128">
        <v>1426</v>
      </c>
      <c r="F114" s="128">
        <v>2148</v>
      </c>
      <c r="G114" s="45">
        <v>1701</v>
      </c>
      <c r="H114" s="45">
        <v>1218</v>
      </c>
    </row>
    <row r="115" spans="2:8" ht="16.5" customHeight="1">
      <c r="B115" s="255" t="s">
        <v>1263</v>
      </c>
      <c r="C115" s="132">
        <v>765</v>
      </c>
      <c r="D115" s="132">
        <v>438</v>
      </c>
      <c r="E115" s="132">
        <v>439</v>
      </c>
      <c r="F115" s="128">
        <v>1033</v>
      </c>
      <c r="G115" s="46">
        <v>725</v>
      </c>
      <c r="H115" s="46">
        <v>263</v>
      </c>
    </row>
    <row r="116" spans="2:8" ht="16.5" customHeight="1">
      <c r="B116" s="255" t="s">
        <v>1264</v>
      </c>
      <c r="C116" s="132">
        <v>271</v>
      </c>
      <c r="D116" s="132">
        <v>86</v>
      </c>
      <c r="E116" s="132">
        <v>55</v>
      </c>
      <c r="F116" s="132">
        <v>78</v>
      </c>
      <c r="G116" s="46">
        <v>112</v>
      </c>
      <c r="H116" s="46">
        <v>114</v>
      </c>
    </row>
    <row r="117" spans="2:8" ht="16.5" customHeight="1">
      <c r="B117" s="104" t="s">
        <v>1400</v>
      </c>
      <c r="C117" s="208">
        <v>0.36399999999999999</v>
      </c>
      <c r="D117" s="208">
        <v>0.56399999999999995</v>
      </c>
      <c r="E117" s="208">
        <v>0.57999999999999996</v>
      </c>
      <c r="F117" s="208">
        <v>0.48799999999999999</v>
      </c>
      <c r="G117" s="208">
        <v>0.59</v>
      </c>
      <c r="H117" s="208">
        <v>0.65700000000000003</v>
      </c>
    </row>
    <row r="118" spans="2:8" ht="16.5" customHeight="1">
      <c r="B118" s="255" t="s">
        <v>258</v>
      </c>
      <c r="C118" s="118">
        <v>0.192</v>
      </c>
      <c r="D118" s="118">
        <v>0.27500000000000002</v>
      </c>
      <c r="E118" s="118">
        <v>0.27100000000000002</v>
      </c>
      <c r="F118" s="118">
        <v>0.314</v>
      </c>
      <c r="G118" s="110">
        <v>0.56799999999999995</v>
      </c>
      <c r="H118" s="110">
        <v>0.72499999999999998</v>
      </c>
    </row>
    <row r="119" spans="2:8" ht="16.5" customHeight="1">
      <c r="B119" s="255" t="s">
        <v>259</v>
      </c>
      <c r="C119" s="118">
        <v>0.45500000000000002</v>
      </c>
      <c r="D119" s="118">
        <v>0.53600000000000003</v>
      </c>
      <c r="E119" s="118">
        <v>0.51800000000000002</v>
      </c>
      <c r="F119" s="118">
        <v>0.41799999999999998</v>
      </c>
      <c r="G119" s="110">
        <v>0.55600000000000005</v>
      </c>
      <c r="H119" s="110">
        <v>0.69</v>
      </c>
    </row>
    <row r="120" spans="2:8" ht="16.5" customHeight="1">
      <c r="B120" s="255" t="s">
        <v>1263</v>
      </c>
      <c r="C120" s="118">
        <v>0.51200000000000001</v>
      </c>
      <c r="D120" s="118">
        <v>0.69099999999999995</v>
      </c>
      <c r="E120" s="118">
        <v>0.69799999999999995</v>
      </c>
      <c r="F120" s="118">
        <v>0.44700000000000001</v>
      </c>
      <c r="G120" s="110">
        <v>0.63</v>
      </c>
      <c r="H120" s="110">
        <v>0.86699999999999999</v>
      </c>
    </row>
    <row r="121" spans="2:8" ht="16.5" customHeight="1">
      <c r="B121" s="255" t="s">
        <v>1264</v>
      </c>
      <c r="C121" s="118">
        <v>0.29599999999999999</v>
      </c>
      <c r="D121" s="118">
        <v>0.754</v>
      </c>
      <c r="E121" s="118">
        <v>0.83399999999999996</v>
      </c>
      <c r="F121" s="118">
        <v>0.77300000000000002</v>
      </c>
      <c r="G121" s="110">
        <v>0.73499999999999999</v>
      </c>
      <c r="H121" s="110">
        <v>0.75700000000000001</v>
      </c>
    </row>
    <row r="122" spans="2:8">
      <c r="B122" s="11" t="s">
        <v>1277</v>
      </c>
    </row>
    <row r="124" spans="2:8" ht="15.5">
      <c r="B124" s="88" t="s">
        <v>201</v>
      </c>
    </row>
    <row r="125" spans="2:8" ht="15.5">
      <c r="B125" s="77" t="s">
        <v>1401</v>
      </c>
      <c r="C125" s="71">
        <v>2017</v>
      </c>
      <c r="D125" s="71">
        <v>2018</v>
      </c>
      <c r="E125" s="71">
        <v>2019</v>
      </c>
      <c r="F125" s="71" t="s">
        <v>335</v>
      </c>
      <c r="G125" s="71" t="s">
        <v>256</v>
      </c>
      <c r="H125" s="71" t="s">
        <v>257</v>
      </c>
    </row>
    <row r="126" spans="2:8" ht="15.5">
      <c r="B126" s="104" t="s">
        <v>1385</v>
      </c>
      <c r="C126" s="97">
        <v>2326</v>
      </c>
      <c r="D126" s="97">
        <v>2929</v>
      </c>
      <c r="E126" s="97">
        <v>3191</v>
      </c>
      <c r="F126" s="97">
        <v>3894</v>
      </c>
      <c r="G126" s="97">
        <v>4332</v>
      </c>
      <c r="H126" s="97">
        <v>4419</v>
      </c>
    </row>
    <row r="127" spans="2:8" ht="15.5">
      <c r="B127" s="255" t="s">
        <v>258</v>
      </c>
      <c r="C127" s="132">
        <v>806</v>
      </c>
      <c r="D127" s="132">
        <v>949</v>
      </c>
      <c r="E127" s="128">
        <v>1104</v>
      </c>
      <c r="F127" s="128">
        <v>1906</v>
      </c>
      <c r="G127" s="35">
        <v>3374</v>
      </c>
      <c r="H127" s="35">
        <v>3608</v>
      </c>
    </row>
    <row r="128" spans="2:8" ht="15.5">
      <c r="B128" s="255" t="s">
        <v>259</v>
      </c>
      <c r="C128" s="128">
        <v>2051</v>
      </c>
      <c r="D128" s="128">
        <v>2224</v>
      </c>
      <c r="E128" s="128">
        <v>2296</v>
      </c>
      <c r="F128" s="128">
        <v>2942</v>
      </c>
      <c r="G128" s="35">
        <v>3467</v>
      </c>
      <c r="H128" s="35">
        <v>3568</v>
      </c>
    </row>
    <row r="129" spans="2:8" ht="15.5">
      <c r="B129" s="255" t="s">
        <v>1263</v>
      </c>
      <c r="C129" s="132">
        <v>937</v>
      </c>
      <c r="D129" s="128">
        <v>1032</v>
      </c>
      <c r="E129" s="128">
        <v>1086</v>
      </c>
      <c r="F129" s="128">
        <v>1549</v>
      </c>
      <c r="G129" s="35">
        <v>1865</v>
      </c>
      <c r="H129" s="35">
        <v>1876</v>
      </c>
    </row>
    <row r="130" spans="2:8" ht="15.5">
      <c r="B130" s="255" t="s">
        <v>1264</v>
      </c>
      <c r="C130" s="132">
        <v>157</v>
      </c>
      <c r="D130" s="132">
        <v>271</v>
      </c>
      <c r="E130" s="132">
        <v>286</v>
      </c>
      <c r="F130" s="132">
        <v>307</v>
      </c>
      <c r="G130" s="32">
        <v>397</v>
      </c>
      <c r="H130" s="32">
        <v>446</v>
      </c>
    </row>
    <row r="131" spans="2:8" ht="15.5">
      <c r="B131" s="104" t="s">
        <v>1386</v>
      </c>
      <c r="C131" s="97">
        <v>2393</v>
      </c>
      <c r="D131" s="97">
        <v>1642</v>
      </c>
      <c r="E131" s="97">
        <v>1515</v>
      </c>
      <c r="F131" s="97">
        <v>1250</v>
      </c>
      <c r="G131" s="107">
        <v>510</v>
      </c>
      <c r="H131" s="107">
        <v>504</v>
      </c>
    </row>
    <row r="132" spans="2:8" ht="15.5">
      <c r="B132" s="255" t="s">
        <v>258</v>
      </c>
      <c r="C132" s="128">
        <v>2380</v>
      </c>
      <c r="D132" s="128">
        <v>2261</v>
      </c>
      <c r="E132" s="128">
        <v>2297</v>
      </c>
      <c r="F132" s="128">
        <v>1835</v>
      </c>
      <c r="G132" s="32">
        <v>434</v>
      </c>
      <c r="H132" s="32">
        <v>443</v>
      </c>
    </row>
    <row r="133" spans="2:8" ht="15.5">
      <c r="B133" s="255" t="s">
        <v>259</v>
      </c>
      <c r="C133" s="132">
        <v>826</v>
      </c>
      <c r="D133" s="132">
        <v>685</v>
      </c>
      <c r="E133" s="132">
        <v>665</v>
      </c>
      <c r="F133" s="132">
        <v>749</v>
      </c>
      <c r="G133" s="32">
        <v>364</v>
      </c>
      <c r="H133" s="32">
        <v>364</v>
      </c>
    </row>
    <row r="134" spans="2:8" ht="15.5">
      <c r="B134" s="255" t="s">
        <v>1263</v>
      </c>
      <c r="C134" s="132">
        <v>630</v>
      </c>
      <c r="D134" s="132">
        <v>384</v>
      </c>
      <c r="E134" s="132">
        <v>366</v>
      </c>
      <c r="F134" s="132">
        <v>320</v>
      </c>
      <c r="G134" s="32">
        <v>93</v>
      </c>
      <c r="H134" s="32">
        <v>101</v>
      </c>
    </row>
    <row r="135" spans="2:8" ht="15.5">
      <c r="B135" s="255" t="s">
        <v>1264</v>
      </c>
      <c r="C135" s="132">
        <v>228</v>
      </c>
      <c r="D135" s="132">
        <v>79</v>
      </c>
      <c r="E135" s="132">
        <v>45</v>
      </c>
      <c r="F135" s="132">
        <v>37</v>
      </c>
      <c r="G135" s="32">
        <v>25</v>
      </c>
      <c r="H135" s="32">
        <v>24</v>
      </c>
    </row>
    <row r="136" spans="2:8" ht="15.5">
      <c r="B136" s="104" t="s">
        <v>1402</v>
      </c>
      <c r="C136" s="208">
        <v>0.49299999999999999</v>
      </c>
      <c r="D136" s="208">
        <v>0.64100000000000001</v>
      </c>
      <c r="E136" s="208">
        <v>0.67800000000000005</v>
      </c>
      <c r="F136" s="208">
        <v>0.75700000000000001</v>
      </c>
      <c r="G136" s="208">
        <v>0.89500000000000002</v>
      </c>
      <c r="H136" s="208">
        <v>0.89800000000000002</v>
      </c>
    </row>
    <row r="137" spans="2:8" ht="15.5">
      <c r="B137" s="255" t="s">
        <v>258</v>
      </c>
      <c r="C137" s="118">
        <v>0.253</v>
      </c>
      <c r="D137" s="118">
        <v>0.29599999999999999</v>
      </c>
      <c r="E137" s="118">
        <v>0.32500000000000001</v>
      </c>
      <c r="F137" s="118">
        <v>0.50900000000000001</v>
      </c>
      <c r="G137" s="110">
        <v>0.88600000000000001</v>
      </c>
      <c r="H137" s="110">
        <v>0.89100000000000001</v>
      </c>
    </row>
    <row r="138" spans="2:8" ht="15.5">
      <c r="B138" s="255" t="s">
        <v>259</v>
      </c>
      <c r="C138" s="118">
        <v>0.71299999999999997</v>
      </c>
      <c r="D138" s="118">
        <v>0.76500000000000001</v>
      </c>
      <c r="E138" s="118">
        <v>0.77500000000000002</v>
      </c>
      <c r="F138" s="118">
        <v>0.79700000000000004</v>
      </c>
      <c r="G138" s="110">
        <v>0.90500000000000003</v>
      </c>
      <c r="H138" s="110">
        <v>0.90700000000000003</v>
      </c>
    </row>
    <row r="139" spans="2:8" ht="15.5">
      <c r="B139" s="255" t="s">
        <v>1263</v>
      </c>
      <c r="C139" s="118">
        <v>0.59799999999999998</v>
      </c>
      <c r="D139" s="118">
        <v>0.72899999999999998</v>
      </c>
      <c r="E139" s="118">
        <v>0.748</v>
      </c>
      <c r="F139" s="118">
        <v>0.82899999999999996</v>
      </c>
      <c r="G139" s="110">
        <v>0.95299999999999996</v>
      </c>
      <c r="H139" s="110">
        <v>0.94899999999999995</v>
      </c>
    </row>
    <row r="140" spans="2:8" ht="15.5">
      <c r="B140" s="255" t="s">
        <v>1264</v>
      </c>
      <c r="C140" s="118">
        <v>0.40799999999999997</v>
      </c>
      <c r="D140" s="118">
        <v>0.77400000000000002</v>
      </c>
      <c r="E140" s="118">
        <v>0.86399999999999999</v>
      </c>
      <c r="F140" s="118">
        <v>0.89200000000000002</v>
      </c>
      <c r="G140" s="118">
        <v>0.94099999999999995</v>
      </c>
      <c r="H140" s="118">
        <v>0.94899999999999995</v>
      </c>
    </row>
    <row r="141" spans="2:8">
      <c r="B141" s="11" t="s">
        <v>1277</v>
      </c>
    </row>
    <row r="143" spans="2:8" ht="15.5">
      <c r="B143" s="18" t="s">
        <v>202</v>
      </c>
      <c r="C143" s="6"/>
      <c r="F143" s="281"/>
    </row>
    <row r="144" spans="2:8" ht="15.5">
      <c r="B144" s="14"/>
      <c r="C144" s="6"/>
    </row>
    <row r="145" spans="2:8" ht="15.5">
      <c r="B145" s="6" t="s">
        <v>203</v>
      </c>
    </row>
    <row r="146" spans="2:8" ht="15.5">
      <c r="B146" s="138" t="s">
        <v>1403</v>
      </c>
      <c r="C146" s="63">
        <v>2017</v>
      </c>
      <c r="D146" s="63">
        <v>2018</v>
      </c>
      <c r="E146" s="63">
        <v>2019</v>
      </c>
      <c r="F146" s="63" t="s">
        <v>335</v>
      </c>
      <c r="G146" s="63" t="s">
        <v>256</v>
      </c>
      <c r="H146" s="63" t="s">
        <v>257</v>
      </c>
    </row>
    <row r="147" spans="2:8" ht="15.5">
      <c r="B147" s="129" t="s">
        <v>1394</v>
      </c>
      <c r="C147" s="31">
        <v>2149</v>
      </c>
      <c r="D147" s="31">
        <v>2776</v>
      </c>
      <c r="E147" s="31">
        <v>3015</v>
      </c>
      <c r="F147" s="31">
        <v>5144</v>
      </c>
      <c r="G147" s="31">
        <v>4795</v>
      </c>
      <c r="H147" s="31">
        <v>4868</v>
      </c>
    </row>
    <row r="148" spans="2:8" ht="15.5">
      <c r="B148" s="150" t="s">
        <v>258</v>
      </c>
      <c r="C148" s="33">
        <v>754</v>
      </c>
      <c r="D148" s="33">
        <v>919</v>
      </c>
      <c r="E148" s="33">
        <v>995</v>
      </c>
      <c r="F148" s="65">
        <v>3741</v>
      </c>
      <c r="G148" s="65">
        <v>3768</v>
      </c>
      <c r="H148" s="65">
        <v>4002</v>
      </c>
    </row>
    <row r="149" spans="2:8" ht="15.5">
      <c r="B149" s="150" t="s">
        <v>259</v>
      </c>
      <c r="C149" s="65">
        <v>1863</v>
      </c>
      <c r="D149" s="65">
        <v>1919</v>
      </c>
      <c r="E149" s="65">
        <v>1998</v>
      </c>
      <c r="F149" s="65">
        <v>3691</v>
      </c>
      <c r="G149" s="65">
        <v>3803</v>
      </c>
      <c r="H149" s="65">
        <v>3889</v>
      </c>
    </row>
    <row r="150" spans="2:8" ht="15.5">
      <c r="B150" s="150" t="s">
        <v>1263</v>
      </c>
      <c r="C150" s="33">
        <v>989</v>
      </c>
      <c r="D150" s="65">
        <v>1077</v>
      </c>
      <c r="E150" s="65">
        <v>1115</v>
      </c>
      <c r="F150" s="65">
        <v>1869</v>
      </c>
      <c r="G150" s="65">
        <v>1948</v>
      </c>
      <c r="H150" s="65">
        <v>1967</v>
      </c>
    </row>
    <row r="151" spans="2:8" ht="15.5">
      <c r="B151" s="150" t="s">
        <v>1264</v>
      </c>
      <c r="C151" s="33">
        <v>118</v>
      </c>
      <c r="D151" s="33">
        <v>253</v>
      </c>
      <c r="E151" s="33">
        <v>274</v>
      </c>
      <c r="F151" s="33">
        <v>344</v>
      </c>
      <c r="G151" s="33">
        <v>419</v>
      </c>
      <c r="H151" s="33">
        <v>466</v>
      </c>
    </row>
    <row r="152" spans="2:8" ht="15.5">
      <c r="B152" s="129" t="s">
        <v>1395</v>
      </c>
      <c r="C152" s="31">
        <v>2570</v>
      </c>
      <c r="D152" s="31">
        <v>1795</v>
      </c>
      <c r="E152" s="31">
        <v>1691</v>
      </c>
      <c r="F152" s="119" t="s">
        <v>731</v>
      </c>
      <c r="G152" s="119">
        <v>47</v>
      </c>
      <c r="H152" s="119">
        <v>55</v>
      </c>
    </row>
    <row r="153" spans="2:8" ht="15.5">
      <c r="B153" s="150" t="s">
        <v>258</v>
      </c>
      <c r="C153" s="65">
        <v>2432</v>
      </c>
      <c r="D153" s="65">
        <v>2291</v>
      </c>
      <c r="E153" s="65">
        <v>2406</v>
      </c>
      <c r="F153" s="33" t="s">
        <v>731</v>
      </c>
      <c r="G153" s="33">
        <v>40</v>
      </c>
      <c r="H153" s="33">
        <v>49</v>
      </c>
    </row>
    <row r="154" spans="2:8" ht="15.5">
      <c r="B154" s="150" t="s">
        <v>259</v>
      </c>
      <c r="C154" s="65">
        <v>1014</v>
      </c>
      <c r="D154" s="33">
        <v>990</v>
      </c>
      <c r="E154" s="33">
        <v>963</v>
      </c>
      <c r="F154" s="33" t="s">
        <v>731</v>
      </c>
      <c r="G154" s="33">
        <v>28</v>
      </c>
      <c r="H154" s="33">
        <v>43</v>
      </c>
    </row>
    <row r="155" spans="2:8" ht="15.5">
      <c r="B155" s="150" t="s">
        <v>1263</v>
      </c>
      <c r="C155" s="33">
        <v>578</v>
      </c>
      <c r="D155" s="33">
        <v>339</v>
      </c>
      <c r="E155" s="33">
        <v>337</v>
      </c>
      <c r="F155" s="33" t="s">
        <v>731</v>
      </c>
      <c r="G155" s="33">
        <v>10</v>
      </c>
      <c r="H155" s="33">
        <v>10</v>
      </c>
    </row>
    <row r="156" spans="2:8" ht="15.5">
      <c r="B156" s="150" t="s">
        <v>1264</v>
      </c>
      <c r="C156" s="33">
        <v>267</v>
      </c>
      <c r="D156" s="33">
        <v>97</v>
      </c>
      <c r="E156" s="33">
        <v>57</v>
      </c>
      <c r="F156" s="33" t="s">
        <v>731</v>
      </c>
      <c r="G156" s="33">
        <v>3</v>
      </c>
      <c r="H156" s="33">
        <v>4</v>
      </c>
    </row>
    <row r="157" spans="2:8" ht="15.5">
      <c r="B157" s="129" t="s">
        <v>1396</v>
      </c>
      <c r="C157" s="282">
        <v>0.45500000000000002</v>
      </c>
      <c r="D157" s="282">
        <v>0.60699999999999998</v>
      </c>
      <c r="E157" s="282">
        <v>0.64100000000000001</v>
      </c>
      <c r="F157" s="282">
        <v>1</v>
      </c>
      <c r="G157" s="282">
        <v>0.99</v>
      </c>
      <c r="H157" s="282">
        <v>0.98899999999999999</v>
      </c>
    </row>
    <row r="158" spans="2:8" ht="15.5">
      <c r="B158" s="150" t="s">
        <v>258</v>
      </c>
      <c r="C158" s="200">
        <v>0.23699999999999999</v>
      </c>
      <c r="D158" s="200">
        <v>0.28599999999999998</v>
      </c>
      <c r="E158" s="200">
        <v>0.29299999999999998</v>
      </c>
      <c r="F158" s="200">
        <v>1</v>
      </c>
      <c r="G158" s="200">
        <v>0.98899999999999999</v>
      </c>
      <c r="H158" s="200">
        <v>0.98799999999999999</v>
      </c>
    </row>
    <row r="159" spans="2:8" ht="15.5">
      <c r="B159" s="150" t="s">
        <v>259</v>
      </c>
      <c r="C159" s="200">
        <v>0.64800000000000002</v>
      </c>
      <c r="D159" s="200">
        <v>0.66</v>
      </c>
      <c r="E159" s="200">
        <v>0.67500000000000004</v>
      </c>
      <c r="F159" s="200">
        <v>1</v>
      </c>
      <c r="G159" s="200">
        <v>0.99299999999999999</v>
      </c>
      <c r="H159" s="200">
        <v>0.98899999999999999</v>
      </c>
    </row>
    <row r="160" spans="2:8" ht="15.5">
      <c r="B160" s="150" t="s">
        <v>1263</v>
      </c>
      <c r="C160" s="200">
        <v>0.63100000000000001</v>
      </c>
      <c r="D160" s="200">
        <v>0.76100000000000001</v>
      </c>
      <c r="E160" s="200">
        <v>0.76800000000000002</v>
      </c>
      <c r="F160" s="200">
        <v>1</v>
      </c>
      <c r="G160" s="200">
        <v>0.995</v>
      </c>
      <c r="H160" s="200">
        <v>0.995</v>
      </c>
    </row>
    <row r="161" spans="2:8" ht="15.5">
      <c r="B161" s="150" t="s">
        <v>1264</v>
      </c>
      <c r="C161" s="200">
        <v>0.30599999999999999</v>
      </c>
      <c r="D161" s="200">
        <v>0.72299999999999998</v>
      </c>
      <c r="E161" s="200">
        <v>0.82799999999999996</v>
      </c>
      <c r="F161" s="200">
        <v>1</v>
      </c>
      <c r="G161" s="200">
        <v>0.99299999999999999</v>
      </c>
      <c r="H161" s="200">
        <v>0.99099999999999999</v>
      </c>
    </row>
    <row r="162" spans="2:8">
      <c r="B162" s="11" t="s">
        <v>1277</v>
      </c>
    </row>
    <row r="163" spans="2:8" ht="15.5">
      <c r="B163" s="7"/>
    </row>
    <row r="164" spans="2:8" ht="15.5">
      <c r="B164" s="88" t="s">
        <v>204</v>
      </c>
    </row>
    <row r="165" spans="2:8" ht="15.5">
      <c r="B165" s="138" t="s">
        <v>1404</v>
      </c>
      <c r="C165" s="63">
        <v>2019</v>
      </c>
      <c r="D165" s="63" t="s">
        <v>335</v>
      </c>
      <c r="E165" s="63" t="s">
        <v>256</v>
      </c>
      <c r="F165" s="63" t="s">
        <v>257</v>
      </c>
    </row>
    <row r="166" spans="2:8" ht="15.5">
      <c r="B166" s="129" t="s">
        <v>1405</v>
      </c>
      <c r="C166" s="283"/>
      <c r="D166" s="283"/>
      <c r="E166" s="31">
        <v>4625</v>
      </c>
      <c r="F166" s="31">
        <v>4722</v>
      </c>
    </row>
    <row r="167" spans="2:8" ht="15.5">
      <c r="B167" s="150" t="s">
        <v>258</v>
      </c>
      <c r="C167" s="65">
        <v>1321</v>
      </c>
      <c r="D167" s="65">
        <v>1957</v>
      </c>
      <c r="E167" s="65">
        <v>3623</v>
      </c>
      <c r="F167" s="65">
        <v>3871</v>
      </c>
    </row>
    <row r="168" spans="2:8" ht="15.5">
      <c r="B168" s="150" t="s">
        <v>259</v>
      </c>
      <c r="C168" s="65">
        <v>2115</v>
      </c>
      <c r="D168" s="65">
        <v>2588</v>
      </c>
      <c r="E168" s="65">
        <v>3685</v>
      </c>
      <c r="F168" s="65">
        <v>3782</v>
      </c>
    </row>
    <row r="169" spans="2:8" ht="15.5">
      <c r="B169" s="150" t="s">
        <v>1263</v>
      </c>
      <c r="C169" s="65">
        <v>1030</v>
      </c>
      <c r="D169" s="65">
        <v>1303</v>
      </c>
      <c r="E169" s="65">
        <v>1909</v>
      </c>
      <c r="F169" s="65">
        <v>1935</v>
      </c>
    </row>
    <row r="170" spans="2:8" ht="15.5">
      <c r="B170" s="150" t="s">
        <v>1264</v>
      </c>
      <c r="C170" s="33">
        <v>257</v>
      </c>
      <c r="D170" s="33">
        <v>275</v>
      </c>
      <c r="E170" s="33">
        <v>411</v>
      </c>
      <c r="F170" s="33">
        <v>460</v>
      </c>
    </row>
    <row r="171" spans="2:8" ht="15.5">
      <c r="B171" s="129" t="s">
        <v>1406</v>
      </c>
      <c r="C171" s="119"/>
      <c r="D171" s="119"/>
      <c r="E171" s="119">
        <v>217</v>
      </c>
      <c r="F171" s="119">
        <v>201</v>
      </c>
    </row>
    <row r="172" spans="2:8" ht="15.5">
      <c r="B172" s="150" t="s">
        <v>258</v>
      </c>
      <c r="C172" s="65">
        <v>2080</v>
      </c>
      <c r="D172" s="65">
        <v>1784</v>
      </c>
      <c r="E172" s="33">
        <v>185</v>
      </c>
      <c r="F172" s="33">
        <v>180</v>
      </c>
    </row>
    <row r="173" spans="2:8" ht="15.5">
      <c r="B173" s="150" t="s">
        <v>259</v>
      </c>
      <c r="C173" s="33">
        <v>846</v>
      </c>
      <c r="D173" s="65">
        <v>1103</v>
      </c>
      <c r="E173" s="33">
        <v>146</v>
      </c>
      <c r="F173" s="33">
        <v>150</v>
      </c>
    </row>
    <row r="174" spans="2:8" ht="15.5">
      <c r="B174" s="150" t="s">
        <v>1263</v>
      </c>
      <c r="C174" s="33">
        <v>422</v>
      </c>
      <c r="D174" s="33">
        <v>566</v>
      </c>
      <c r="E174" s="33">
        <v>49</v>
      </c>
      <c r="F174" s="33">
        <v>42</v>
      </c>
    </row>
    <row r="175" spans="2:8" ht="15.5">
      <c r="B175" s="150" t="s">
        <v>1264</v>
      </c>
      <c r="C175" s="33">
        <v>74</v>
      </c>
      <c r="D175" s="33">
        <v>69</v>
      </c>
      <c r="E175" s="33">
        <v>11</v>
      </c>
      <c r="F175" s="33">
        <v>10</v>
      </c>
    </row>
    <row r="176" spans="2:8" ht="15.5">
      <c r="B176" s="129" t="s">
        <v>1407</v>
      </c>
      <c r="C176" s="119"/>
      <c r="D176" s="119"/>
      <c r="E176" s="282">
        <v>0.95499999999999996</v>
      </c>
      <c r="F176" s="282">
        <v>0.95899999999999996</v>
      </c>
    </row>
    <row r="177" spans="2:8" ht="15.5">
      <c r="B177" s="150" t="s">
        <v>258</v>
      </c>
      <c r="C177" s="200">
        <v>0.38800000000000001</v>
      </c>
      <c r="D177" s="200">
        <v>0.52300000000000002</v>
      </c>
      <c r="E177" s="200">
        <v>0.95099999999999996</v>
      </c>
      <c r="F177" s="200">
        <v>0.95599999999999996</v>
      </c>
    </row>
    <row r="178" spans="2:8" ht="15.5">
      <c r="B178" s="150" t="s">
        <v>259</v>
      </c>
      <c r="C178" s="200">
        <v>0.71399999999999997</v>
      </c>
      <c r="D178" s="200">
        <v>0.70099999999999996</v>
      </c>
      <c r="E178" s="200">
        <v>0.96199999999999997</v>
      </c>
      <c r="F178" s="200">
        <v>0.96199999999999997</v>
      </c>
    </row>
    <row r="179" spans="2:8" ht="15.5">
      <c r="B179" s="150" t="s">
        <v>1263</v>
      </c>
      <c r="C179" s="200">
        <v>0.70899999999999996</v>
      </c>
      <c r="D179" s="200">
        <v>0.69699999999999995</v>
      </c>
      <c r="E179" s="200">
        <v>0.97499999999999998</v>
      </c>
      <c r="F179" s="200">
        <v>0.97899999999999998</v>
      </c>
    </row>
    <row r="180" spans="2:8" ht="15.5">
      <c r="B180" s="150" t="s">
        <v>1264</v>
      </c>
      <c r="C180" s="200">
        <v>0.77600000000000002</v>
      </c>
      <c r="D180" s="200">
        <v>0.79900000000000004</v>
      </c>
      <c r="E180" s="200">
        <v>0.97399999999999998</v>
      </c>
      <c r="F180" s="200">
        <v>0.97899999999999998</v>
      </c>
    </row>
    <row r="181" spans="2:8">
      <c r="B181" s="11" t="s">
        <v>1277</v>
      </c>
    </row>
    <row r="182" spans="2:8">
      <c r="B182" s="11"/>
    </row>
    <row r="183" spans="2:8" ht="15.5">
      <c r="B183" s="88" t="s">
        <v>205</v>
      </c>
    </row>
    <row r="184" spans="2:8" ht="15.5">
      <c r="B184" s="95" t="s">
        <v>376</v>
      </c>
      <c r="C184" s="71">
        <v>2017</v>
      </c>
      <c r="D184" s="71">
        <v>2018</v>
      </c>
      <c r="E184" s="71">
        <v>2019</v>
      </c>
      <c r="F184" s="71" t="s">
        <v>335</v>
      </c>
      <c r="G184" s="71" t="s">
        <v>256</v>
      </c>
      <c r="H184" s="71" t="s">
        <v>257</v>
      </c>
    </row>
    <row r="185" spans="2:8" ht="15.5">
      <c r="B185" s="259" t="s">
        <v>1408</v>
      </c>
      <c r="C185" s="34">
        <v>92958</v>
      </c>
      <c r="D185" s="34">
        <v>98015</v>
      </c>
      <c r="E185" s="34">
        <v>103690</v>
      </c>
      <c r="F185" s="34">
        <v>150676</v>
      </c>
      <c r="G185" s="34">
        <v>154235</v>
      </c>
      <c r="H185" s="34">
        <v>160133</v>
      </c>
    </row>
    <row r="186" spans="2:8" ht="15.5">
      <c r="B186" s="207" t="s">
        <v>1409</v>
      </c>
      <c r="C186" s="128">
        <v>47464</v>
      </c>
      <c r="D186" s="128">
        <v>49745</v>
      </c>
      <c r="E186" s="128">
        <v>52885</v>
      </c>
      <c r="F186" s="128">
        <v>76012</v>
      </c>
      <c r="G186" s="128">
        <v>77828</v>
      </c>
      <c r="H186" s="128">
        <v>80855</v>
      </c>
    </row>
    <row r="187" spans="2:8" ht="15.5">
      <c r="B187" s="207" t="s">
        <v>1410</v>
      </c>
      <c r="C187" s="128">
        <v>45494</v>
      </c>
      <c r="D187" s="128">
        <v>48270</v>
      </c>
      <c r="E187" s="128">
        <v>50805</v>
      </c>
      <c r="F187" s="128">
        <v>74664</v>
      </c>
      <c r="G187" s="128">
        <v>76407</v>
      </c>
      <c r="H187" s="128">
        <v>79278</v>
      </c>
    </row>
    <row r="188" spans="2:8" ht="15.5">
      <c r="B188" s="96" t="s">
        <v>1411</v>
      </c>
      <c r="C188" s="97">
        <v>85157</v>
      </c>
      <c r="D188" s="97">
        <v>89638</v>
      </c>
      <c r="E188" s="97">
        <v>94545</v>
      </c>
      <c r="F188" s="97">
        <v>137257</v>
      </c>
      <c r="G188" s="97">
        <v>140509</v>
      </c>
      <c r="H188" s="524">
        <v>143856</v>
      </c>
    </row>
    <row r="189" spans="2:8" ht="15.5">
      <c r="B189" s="207" t="s">
        <v>1412</v>
      </c>
      <c r="C189" s="128">
        <v>43502</v>
      </c>
      <c r="D189" s="128">
        <v>45542</v>
      </c>
      <c r="E189" s="128">
        <v>48330</v>
      </c>
      <c r="F189" s="128">
        <v>69315</v>
      </c>
      <c r="G189" s="128">
        <v>70982</v>
      </c>
      <c r="H189" s="128">
        <v>72763</v>
      </c>
    </row>
    <row r="190" spans="2:8" ht="15.5">
      <c r="B190" s="207" t="s">
        <v>1413</v>
      </c>
      <c r="C190" s="128">
        <v>41655</v>
      </c>
      <c r="D190" s="128">
        <v>44096</v>
      </c>
      <c r="E190" s="128">
        <v>46215</v>
      </c>
      <c r="F190" s="128">
        <v>67942</v>
      </c>
      <c r="G190" s="128">
        <v>69527</v>
      </c>
      <c r="H190" s="128">
        <v>71093</v>
      </c>
    </row>
    <row r="191" spans="2:8" ht="15.5">
      <c r="B191" s="96" t="s">
        <v>1414</v>
      </c>
      <c r="C191" s="97">
        <v>7801</v>
      </c>
      <c r="D191" s="97">
        <v>8377</v>
      </c>
      <c r="E191" s="97">
        <v>9145</v>
      </c>
      <c r="F191" s="97">
        <v>13419</v>
      </c>
      <c r="G191" s="97">
        <v>13726</v>
      </c>
      <c r="H191" s="524">
        <v>16277</v>
      </c>
    </row>
    <row r="192" spans="2:8" ht="15.5">
      <c r="B192" s="207" t="s">
        <v>1415</v>
      </c>
      <c r="C192" s="128">
        <v>3962</v>
      </c>
      <c r="D192" s="128">
        <v>4203</v>
      </c>
      <c r="E192" s="128">
        <v>4555</v>
      </c>
      <c r="F192" s="128">
        <v>6697</v>
      </c>
      <c r="G192" s="128">
        <v>6846</v>
      </c>
      <c r="H192" s="128">
        <v>8092</v>
      </c>
    </row>
    <row r="193" spans="2:8" ht="15.5">
      <c r="B193" s="207" t="s">
        <v>1416</v>
      </c>
      <c r="C193" s="128">
        <v>3839</v>
      </c>
      <c r="D193" s="128">
        <v>4174</v>
      </c>
      <c r="E193" s="128">
        <v>4590</v>
      </c>
      <c r="F193" s="128">
        <v>6722</v>
      </c>
      <c r="G193" s="128">
        <v>6880</v>
      </c>
      <c r="H193" s="128">
        <v>8185</v>
      </c>
    </row>
    <row r="194" spans="2:8" ht="15.5">
      <c r="B194" s="259" t="s">
        <v>1417</v>
      </c>
      <c r="C194" s="36">
        <v>37</v>
      </c>
      <c r="D194" s="36">
        <v>35</v>
      </c>
      <c r="E194" s="36">
        <v>35</v>
      </c>
      <c r="F194" s="36">
        <v>26</v>
      </c>
      <c r="G194" s="36">
        <v>26</v>
      </c>
      <c r="H194" s="36">
        <v>27</v>
      </c>
    </row>
    <row r="195" spans="2:8" ht="15.5">
      <c r="B195" s="207" t="s">
        <v>626</v>
      </c>
      <c r="C195" s="132">
        <v>36</v>
      </c>
      <c r="D195" s="132">
        <v>35</v>
      </c>
      <c r="E195" s="132">
        <v>34</v>
      </c>
      <c r="F195" s="132">
        <v>25</v>
      </c>
      <c r="G195" s="132">
        <v>26</v>
      </c>
      <c r="H195" s="132">
        <v>27</v>
      </c>
    </row>
    <row r="196" spans="2:8" ht="15.5">
      <c r="B196" s="207" t="s">
        <v>625</v>
      </c>
      <c r="C196" s="132">
        <v>38</v>
      </c>
      <c r="D196" s="132">
        <v>36</v>
      </c>
      <c r="E196" s="132">
        <v>36</v>
      </c>
      <c r="F196" s="132">
        <v>27</v>
      </c>
      <c r="G196" s="132">
        <v>27</v>
      </c>
      <c r="H196" s="132">
        <v>27</v>
      </c>
    </row>
    <row r="197" spans="2:8" ht="15.5">
      <c r="B197" s="96" t="s">
        <v>1418</v>
      </c>
      <c r="C197" s="107">
        <v>39</v>
      </c>
      <c r="D197" s="107">
        <v>38</v>
      </c>
      <c r="E197" s="107">
        <v>37</v>
      </c>
      <c r="F197" s="107">
        <v>28</v>
      </c>
      <c r="G197" s="107">
        <v>28</v>
      </c>
      <c r="H197" s="107">
        <v>29</v>
      </c>
    </row>
    <row r="198" spans="2:8" ht="15.5">
      <c r="B198" s="207" t="s">
        <v>1419</v>
      </c>
      <c r="C198" s="132">
        <v>38</v>
      </c>
      <c r="D198" s="132">
        <v>37</v>
      </c>
      <c r="E198" s="132">
        <v>36</v>
      </c>
      <c r="F198" s="132">
        <v>27</v>
      </c>
      <c r="G198" s="132">
        <v>27</v>
      </c>
      <c r="H198" s="132">
        <v>29</v>
      </c>
    </row>
    <row r="199" spans="2:8" ht="15.5">
      <c r="B199" s="207" t="s">
        <v>1420</v>
      </c>
      <c r="C199" s="132">
        <v>41</v>
      </c>
      <c r="D199" s="132">
        <v>39</v>
      </c>
      <c r="E199" s="132">
        <v>38</v>
      </c>
      <c r="F199" s="132">
        <v>28</v>
      </c>
      <c r="G199" s="132">
        <v>28</v>
      </c>
      <c r="H199" s="132">
        <v>30</v>
      </c>
    </row>
    <row r="200" spans="2:8" ht="15.5">
      <c r="B200" s="96" t="s">
        <v>1421</v>
      </c>
      <c r="C200" s="107">
        <v>10</v>
      </c>
      <c r="D200" s="107">
        <v>10</v>
      </c>
      <c r="E200" s="107">
        <v>9</v>
      </c>
      <c r="F200" s="107">
        <v>8</v>
      </c>
      <c r="G200" s="107">
        <v>8</v>
      </c>
      <c r="H200" s="107">
        <v>8</v>
      </c>
    </row>
    <row r="201" spans="2:8" ht="15.5">
      <c r="B201" s="207" t="s">
        <v>1422</v>
      </c>
      <c r="C201" s="132">
        <v>10</v>
      </c>
      <c r="D201" s="132">
        <v>10</v>
      </c>
      <c r="E201" s="132">
        <v>10</v>
      </c>
      <c r="F201" s="132">
        <v>8</v>
      </c>
      <c r="G201" s="132">
        <v>8</v>
      </c>
      <c r="H201" s="132">
        <v>8</v>
      </c>
    </row>
    <row r="202" spans="2:8" ht="15.5">
      <c r="B202" s="207" t="s">
        <v>1423</v>
      </c>
      <c r="C202" s="132">
        <v>10</v>
      </c>
      <c r="D202" s="132">
        <v>9</v>
      </c>
      <c r="E202" s="132">
        <v>9</v>
      </c>
      <c r="F202" s="132">
        <v>8</v>
      </c>
      <c r="G202" s="132">
        <v>8</v>
      </c>
      <c r="H202" s="132">
        <v>8</v>
      </c>
    </row>
    <row r="203" spans="2:8">
      <c r="B203" s="50" t="s">
        <v>431</v>
      </c>
    </row>
    <row r="204" spans="2:8" ht="15.5">
      <c r="B204" s="7" t="s">
        <v>314</v>
      </c>
    </row>
  </sheetData>
  <hyperlinks>
    <hyperlink ref="B88" location="_ftn1" display="_ftn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13"/>
  <sheetViews>
    <sheetView showGridLines="0" topLeftCell="D1" workbookViewId="0">
      <selection activeCell="H52" sqref="H52"/>
    </sheetView>
  </sheetViews>
  <sheetFormatPr defaultRowHeight="14.5"/>
  <cols>
    <col min="2" max="2" width="55.453125" customWidth="1"/>
    <col min="3" max="3" width="11.1796875" customWidth="1"/>
    <col min="6" max="6" width="13.7265625" customWidth="1"/>
    <col min="7" max="8" width="12.08984375" customWidth="1"/>
  </cols>
  <sheetData>
    <row r="2" spans="2:8" ht="15.5">
      <c r="B2" s="3" t="s">
        <v>206</v>
      </c>
    </row>
    <row r="3" spans="2:8" ht="15.5">
      <c r="B3" s="15"/>
    </row>
    <row r="4" spans="2:8" ht="15.5">
      <c r="B4" s="18" t="s">
        <v>207</v>
      </c>
      <c r="C4" s="6"/>
    </row>
    <row r="5" spans="2:8" ht="15.5">
      <c r="B5" s="18"/>
      <c r="C5" s="6"/>
    </row>
    <row r="6" spans="2:8" ht="15.5">
      <c r="B6" s="88" t="s">
        <v>1424</v>
      </c>
    </row>
    <row r="7" spans="2:8" ht="15.5">
      <c r="B7" s="95" t="s">
        <v>611</v>
      </c>
      <c r="C7" s="71">
        <v>2017</v>
      </c>
      <c r="D7" s="71">
        <v>2018</v>
      </c>
      <c r="E7" s="71">
        <v>2019</v>
      </c>
      <c r="F7" s="71" t="s">
        <v>335</v>
      </c>
      <c r="G7" s="71" t="s">
        <v>256</v>
      </c>
      <c r="H7" s="71" t="s">
        <v>257</v>
      </c>
    </row>
    <row r="8" spans="2:8" ht="17.149999999999999" customHeight="1">
      <c r="B8" s="96" t="s">
        <v>1425</v>
      </c>
      <c r="C8" s="97">
        <v>610630</v>
      </c>
      <c r="D8" s="97">
        <v>724059</v>
      </c>
      <c r="E8" s="97">
        <v>796256</v>
      </c>
      <c r="F8" s="97">
        <v>874244</v>
      </c>
      <c r="G8" s="97">
        <v>3375454</v>
      </c>
      <c r="H8" s="524">
        <v>3908597</v>
      </c>
    </row>
    <row r="9" spans="2:8" ht="15.5">
      <c r="B9" s="207" t="s">
        <v>337</v>
      </c>
      <c r="C9" s="128">
        <v>33944</v>
      </c>
      <c r="D9" s="128">
        <v>49401</v>
      </c>
      <c r="E9" s="128">
        <v>52509</v>
      </c>
      <c r="F9" s="128">
        <v>52787</v>
      </c>
      <c r="G9" s="128">
        <v>250306</v>
      </c>
      <c r="H9" s="128">
        <v>496478</v>
      </c>
    </row>
    <row r="10" spans="2:8" ht="15.5">
      <c r="B10" s="207" t="s">
        <v>349</v>
      </c>
      <c r="C10" s="128">
        <v>183310</v>
      </c>
      <c r="D10" s="128">
        <v>183857</v>
      </c>
      <c r="E10" s="128">
        <v>182678</v>
      </c>
      <c r="F10" s="128">
        <v>309419</v>
      </c>
      <c r="G10" s="128">
        <v>2421231</v>
      </c>
      <c r="H10" s="128">
        <v>2624481</v>
      </c>
    </row>
    <row r="11" spans="2:8" ht="15.5">
      <c r="B11" s="207" t="s">
        <v>1426</v>
      </c>
      <c r="C11" s="128">
        <v>357329</v>
      </c>
      <c r="D11" s="128">
        <v>444578</v>
      </c>
      <c r="E11" s="128">
        <v>520480</v>
      </c>
      <c r="F11" s="128">
        <v>468493</v>
      </c>
      <c r="G11" s="128">
        <v>653185</v>
      </c>
      <c r="H11" s="128">
        <v>710799</v>
      </c>
    </row>
    <row r="12" spans="2:8" ht="15.5">
      <c r="B12" s="207" t="s">
        <v>370</v>
      </c>
      <c r="C12" s="128">
        <v>36047</v>
      </c>
      <c r="D12" s="128">
        <v>46223</v>
      </c>
      <c r="E12" s="128">
        <v>40589</v>
      </c>
      <c r="F12" s="128">
        <v>43545</v>
      </c>
      <c r="G12" s="128">
        <v>50732</v>
      </c>
      <c r="H12" s="128">
        <v>76839</v>
      </c>
    </row>
    <row r="13" spans="2:8" ht="15.5">
      <c r="B13" s="96" t="s">
        <v>1427</v>
      </c>
      <c r="C13" s="208">
        <v>0.182</v>
      </c>
      <c r="D13" s="208">
        <v>0.214</v>
      </c>
      <c r="E13" s="208">
        <v>0.22600000000000001</v>
      </c>
      <c r="F13" s="208">
        <v>0.23</v>
      </c>
      <c r="G13" s="208">
        <v>0.86299999999999999</v>
      </c>
      <c r="H13" s="208">
        <v>0.92800000000000005</v>
      </c>
    </row>
    <row r="14" spans="2:8" ht="15.5">
      <c r="B14" s="207" t="s">
        <v>337</v>
      </c>
      <c r="C14" s="118">
        <v>0.154</v>
      </c>
      <c r="D14" s="118">
        <v>0.218</v>
      </c>
      <c r="E14" s="118">
        <v>0.186</v>
      </c>
      <c r="F14" s="118">
        <v>0.18</v>
      </c>
      <c r="G14" s="118">
        <v>0.70399999999999996</v>
      </c>
      <c r="H14" s="118">
        <v>0.91800000000000004</v>
      </c>
    </row>
    <row r="15" spans="2:8" ht="15.5">
      <c r="B15" s="207" t="s">
        <v>349</v>
      </c>
      <c r="C15" s="118">
        <v>7.1999999999999995E-2</v>
      </c>
      <c r="D15" s="118">
        <v>7.2999999999999995E-2</v>
      </c>
      <c r="E15" s="118">
        <v>7.2999999999999995E-2</v>
      </c>
      <c r="F15" s="118">
        <v>0.113</v>
      </c>
      <c r="G15" s="118">
        <v>0.88300000000000001</v>
      </c>
      <c r="H15" s="118">
        <v>0.92500000000000004</v>
      </c>
    </row>
    <row r="16" spans="2:8" ht="15.5">
      <c r="B16" s="207" t="s">
        <v>1426</v>
      </c>
      <c r="C16" s="118">
        <v>0.69699999999999995</v>
      </c>
      <c r="D16" s="118">
        <v>0.76800000000000002</v>
      </c>
      <c r="E16" s="118">
        <v>0.80200000000000005</v>
      </c>
      <c r="F16" s="118">
        <v>0.67500000000000004</v>
      </c>
      <c r="G16" s="118">
        <v>0.89400000000000002</v>
      </c>
      <c r="H16" s="118">
        <v>0.97399999999999998</v>
      </c>
    </row>
    <row r="17" spans="2:8" ht="15.5">
      <c r="B17" s="207" t="s">
        <v>370</v>
      </c>
      <c r="C17" s="118">
        <v>0.45300000000000001</v>
      </c>
      <c r="D17" s="118">
        <v>0.58199999999999996</v>
      </c>
      <c r="E17" s="118">
        <v>0.51400000000000001</v>
      </c>
      <c r="F17" s="118">
        <v>0.495</v>
      </c>
      <c r="G17" s="118">
        <v>0.60799999999999998</v>
      </c>
      <c r="H17" s="118">
        <v>0.74199999999999999</v>
      </c>
    </row>
    <row r="18" spans="2:8">
      <c r="B18" s="50" t="s">
        <v>431</v>
      </c>
    </row>
    <row r="19" spans="2:8" ht="15.5">
      <c r="B19" s="7" t="s">
        <v>314</v>
      </c>
    </row>
    <row r="20" spans="2:8">
      <c r="B20" s="761" t="s">
        <v>1682</v>
      </c>
      <c r="C20" s="762"/>
    </row>
    <row r="21" spans="2:8">
      <c r="B21" s="763"/>
      <c r="C21" s="762"/>
    </row>
    <row r="22" spans="2:8" ht="15.5">
      <c r="B22" s="538" t="s">
        <v>414</v>
      </c>
      <c r="C22" s="764" t="s">
        <v>257</v>
      </c>
    </row>
    <row r="23" spans="2:8" ht="15.5">
      <c r="B23" s="765" t="s">
        <v>1675</v>
      </c>
      <c r="C23" s="766">
        <v>4212893</v>
      </c>
    </row>
    <row r="24" spans="2:8" ht="15.5">
      <c r="B24" s="767" t="s">
        <v>409</v>
      </c>
      <c r="C24" s="768">
        <v>1636011</v>
      </c>
    </row>
    <row r="25" spans="2:8" ht="15.5">
      <c r="B25" s="767" t="s">
        <v>410</v>
      </c>
      <c r="C25" s="768">
        <v>2243125</v>
      </c>
    </row>
    <row r="26" spans="2:8" ht="15.5">
      <c r="B26" s="767" t="s">
        <v>411</v>
      </c>
      <c r="C26" s="768">
        <v>333757</v>
      </c>
    </row>
    <row r="27" spans="2:8" ht="15.5">
      <c r="B27" s="765" t="s">
        <v>1676</v>
      </c>
      <c r="C27" s="769">
        <v>3908597</v>
      </c>
    </row>
    <row r="28" spans="2:8" ht="15.5">
      <c r="B28" s="767" t="s">
        <v>409</v>
      </c>
      <c r="C28" s="768">
        <v>1596542</v>
      </c>
    </row>
    <row r="29" spans="2:8" ht="15.5">
      <c r="B29" s="767" t="s">
        <v>410</v>
      </c>
      <c r="C29" s="768">
        <v>2200534</v>
      </c>
    </row>
    <row r="30" spans="2:8" ht="15.5">
      <c r="B30" s="767" t="s">
        <v>411</v>
      </c>
      <c r="C30" s="768">
        <v>111521</v>
      </c>
    </row>
    <row r="31" spans="2:8" ht="15.5">
      <c r="B31" s="770" t="s">
        <v>1677</v>
      </c>
      <c r="C31" s="774">
        <v>0.92800000000000005</v>
      </c>
    </row>
    <row r="32" spans="2:8" ht="15.5">
      <c r="B32" s="105" t="s">
        <v>409</v>
      </c>
      <c r="C32" s="775">
        <v>0.97599999999999998</v>
      </c>
    </row>
    <row r="33" spans="2:8" ht="15.5">
      <c r="B33" s="105" t="s">
        <v>410</v>
      </c>
      <c r="C33" s="775">
        <v>0.98099999999999998</v>
      </c>
    </row>
    <row r="34" spans="2:8" ht="15.5">
      <c r="B34" s="105" t="s">
        <v>411</v>
      </c>
      <c r="C34" s="775">
        <v>0.33400000000000002</v>
      </c>
    </row>
    <row r="35" spans="2:8" ht="15.5">
      <c r="B35" s="7" t="s">
        <v>483</v>
      </c>
    </row>
    <row r="36" spans="2:8" ht="15.5">
      <c r="B36" s="7"/>
    </row>
    <row r="37" spans="2:8" ht="15.5">
      <c r="B37" s="7"/>
    </row>
    <row r="38" spans="2:8" ht="15.5">
      <c r="B38" s="25" t="s">
        <v>209</v>
      </c>
    </row>
    <row r="39" spans="2:8">
      <c r="B39" s="12" t="s">
        <v>314</v>
      </c>
    </row>
    <row r="40" spans="2:8" ht="15.5">
      <c r="B40" s="88" t="s">
        <v>1428</v>
      </c>
    </row>
    <row r="41" spans="2:8" ht="15" customHeight="1">
      <c r="B41" s="95" t="s">
        <v>611</v>
      </c>
      <c r="C41" s="71">
        <v>2017</v>
      </c>
      <c r="D41" s="71">
        <v>2018</v>
      </c>
      <c r="E41" s="71">
        <v>2019</v>
      </c>
      <c r="F41" s="71" t="s">
        <v>335</v>
      </c>
      <c r="G41" s="71" t="s">
        <v>256</v>
      </c>
      <c r="H41" s="71" t="s">
        <v>257</v>
      </c>
    </row>
    <row r="42" spans="2:8" ht="15" customHeight="1">
      <c r="B42" s="96" t="s">
        <v>1429</v>
      </c>
      <c r="C42" s="182">
        <v>1648</v>
      </c>
      <c r="D42" s="182">
        <v>1808</v>
      </c>
      <c r="E42" s="182">
        <v>2189</v>
      </c>
      <c r="F42" s="182">
        <v>3093</v>
      </c>
      <c r="G42" s="182">
        <v>3978</v>
      </c>
      <c r="H42" s="182">
        <v>4305</v>
      </c>
    </row>
    <row r="43" spans="2:8" ht="15" customHeight="1">
      <c r="B43" s="207" t="s">
        <v>258</v>
      </c>
      <c r="C43" s="132">
        <v>379</v>
      </c>
      <c r="D43" s="132">
        <v>625</v>
      </c>
      <c r="E43" s="128">
        <v>1277</v>
      </c>
      <c r="F43" s="128">
        <v>1300</v>
      </c>
      <c r="G43" s="134">
        <v>3108</v>
      </c>
      <c r="H43" s="134">
        <v>3464</v>
      </c>
    </row>
    <row r="44" spans="2:8" ht="15" customHeight="1">
      <c r="B44" s="207" t="s">
        <v>259</v>
      </c>
      <c r="C44" s="132">
        <v>357</v>
      </c>
      <c r="D44" s="132">
        <v>372</v>
      </c>
      <c r="E44" s="132">
        <v>504</v>
      </c>
      <c r="F44" s="128">
        <v>1443</v>
      </c>
      <c r="G44" s="128">
        <v>3385</v>
      </c>
      <c r="H44" s="128">
        <v>3602</v>
      </c>
    </row>
    <row r="45" spans="2:8" ht="15" customHeight="1">
      <c r="B45" s="207" t="s">
        <v>1263</v>
      </c>
      <c r="C45" s="128">
        <v>1181</v>
      </c>
      <c r="D45" s="128">
        <v>1196</v>
      </c>
      <c r="E45" s="128">
        <v>1236</v>
      </c>
      <c r="F45" s="128">
        <v>1740</v>
      </c>
      <c r="G45" s="128">
        <v>1828</v>
      </c>
      <c r="H45" s="128">
        <v>1847</v>
      </c>
    </row>
    <row r="46" spans="2:8" ht="15" customHeight="1">
      <c r="B46" s="207" t="s">
        <v>1264</v>
      </c>
      <c r="C46" s="132">
        <v>154</v>
      </c>
      <c r="D46" s="132">
        <v>145</v>
      </c>
      <c r="E46" s="132">
        <v>154</v>
      </c>
      <c r="F46" s="132">
        <v>253</v>
      </c>
      <c r="G46" s="132">
        <v>299</v>
      </c>
      <c r="H46" s="132">
        <v>371</v>
      </c>
    </row>
    <row r="47" spans="2:8" ht="15" customHeight="1">
      <c r="B47" s="96" t="s">
        <v>1430</v>
      </c>
      <c r="C47" s="182">
        <v>3071</v>
      </c>
      <c r="D47" s="182">
        <v>2763</v>
      </c>
      <c r="E47" s="182">
        <v>2517</v>
      </c>
      <c r="F47" s="182">
        <v>2051</v>
      </c>
      <c r="G47" s="284">
        <v>864</v>
      </c>
      <c r="H47" s="284">
        <v>618</v>
      </c>
    </row>
    <row r="48" spans="2:8" ht="15" customHeight="1">
      <c r="B48" s="207" t="s">
        <v>258</v>
      </c>
      <c r="C48" s="128">
        <v>2807</v>
      </c>
      <c r="D48" s="128">
        <v>2585</v>
      </c>
      <c r="E48" s="128">
        <v>2124</v>
      </c>
      <c r="F48" s="128">
        <v>2441</v>
      </c>
      <c r="G48" s="132">
        <v>700</v>
      </c>
      <c r="H48" s="132">
        <v>587</v>
      </c>
    </row>
    <row r="49" spans="2:8" ht="15" customHeight="1">
      <c r="B49" s="207" t="s">
        <v>259</v>
      </c>
      <c r="C49" s="128">
        <v>2520</v>
      </c>
      <c r="D49" s="128">
        <v>2537</v>
      </c>
      <c r="E49" s="128">
        <v>2457</v>
      </c>
      <c r="F49" s="128">
        <v>2248</v>
      </c>
      <c r="G49" s="132">
        <v>446</v>
      </c>
      <c r="H49" s="132">
        <v>446</v>
      </c>
    </row>
    <row r="50" spans="2:8" ht="15" customHeight="1">
      <c r="B50" s="207" t="s">
        <v>1263</v>
      </c>
      <c r="C50" s="132">
        <v>386</v>
      </c>
      <c r="D50" s="132">
        <v>220</v>
      </c>
      <c r="E50" s="132">
        <v>216</v>
      </c>
      <c r="F50" s="132">
        <v>129</v>
      </c>
      <c r="G50" s="132">
        <v>130</v>
      </c>
      <c r="H50" s="132">
        <v>446</v>
      </c>
    </row>
    <row r="51" spans="2:8" ht="15" customHeight="1">
      <c r="B51" s="207" t="s">
        <v>1264</v>
      </c>
      <c r="C51" s="132">
        <v>231</v>
      </c>
      <c r="D51" s="132">
        <v>205</v>
      </c>
      <c r="E51" s="132">
        <v>177</v>
      </c>
      <c r="F51" s="132">
        <v>91</v>
      </c>
      <c r="G51" s="132">
        <v>123</v>
      </c>
      <c r="H51" s="132">
        <v>446</v>
      </c>
    </row>
    <row r="52" spans="2:8" ht="15" customHeight="1">
      <c r="B52" s="96" t="s">
        <v>1431</v>
      </c>
      <c r="C52" s="258">
        <v>0.34899999999999998</v>
      </c>
      <c r="D52" s="258">
        <v>0.39600000000000002</v>
      </c>
      <c r="E52" s="258">
        <v>0.46500000000000002</v>
      </c>
      <c r="F52" s="258">
        <v>0.60099999999999998</v>
      </c>
      <c r="G52" s="258">
        <v>0.82199999999999995</v>
      </c>
      <c r="H52" s="258">
        <v>0.874</v>
      </c>
    </row>
    <row r="53" spans="2:8" ht="15" customHeight="1">
      <c r="B53" s="207" t="s">
        <v>258</v>
      </c>
      <c r="C53" s="118">
        <v>0.11899999999999999</v>
      </c>
      <c r="D53" s="118">
        <v>0.19500000000000001</v>
      </c>
      <c r="E53" s="118">
        <v>0.375</v>
      </c>
      <c r="F53" s="118">
        <v>0.34799999999999998</v>
      </c>
      <c r="G53" s="118">
        <v>0.81599999999999995</v>
      </c>
      <c r="H53" s="118">
        <v>0.85499999999999998</v>
      </c>
    </row>
    <row r="54" spans="2:8" ht="15" customHeight="1">
      <c r="B54" s="207" t="s">
        <v>259</v>
      </c>
      <c r="C54" s="118">
        <v>0.124</v>
      </c>
      <c r="D54" s="118">
        <v>0.128</v>
      </c>
      <c r="E54" s="118">
        <v>0.17</v>
      </c>
      <c r="F54" s="118">
        <v>0.39100000000000001</v>
      </c>
      <c r="G54" s="118">
        <v>0.88400000000000001</v>
      </c>
      <c r="H54" s="118">
        <v>0.91600000000000004</v>
      </c>
    </row>
    <row r="55" spans="2:8" ht="15" customHeight="1">
      <c r="B55" s="207" t="s">
        <v>1263</v>
      </c>
      <c r="C55" s="118">
        <v>0.754</v>
      </c>
      <c r="D55" s="118">
        <v>0.84499999999999997</v>
      </c>
      <c r="E55" s="118">
        <v>0.85099999999999998</v>
      </c>
      <c r="F55" s="118">
        <v>0.93100000000000005</v>
      </c>
      <c r="G55" s="118">
        <v>0.93400000000000005</v>
      </c>
      <c r="H55" s="118">
        <v>0.93400000000000005</v>
      </c>
    </row>
    <row r="56" spans="2:8" ht="15" customHeight="1">
      <c r="B56" s="207" t="s">
        <v>1264</v>
      </c>
      <c r="C56" s="118">
        <v>0.4</v>
      </c>
      <c r="D56" s="118">
        <v>0.41399999999999998</v>
      </c>
      <c r="E56" s="118">
        <v>0.46500000000000002</v>
      </c>
      <c r="F56" s="118">
        <v>0.73499999999999999</v>
      </c>
      <c r="G56" s="118">
        <v>0.70899999999999996</v>
      </c>
      <c r="H56" s="118">
        <v>0.78900000000000003</v>
      </c>
    </row>
    <row r="57" spans="2:8" ht="15" customHeight="1">
      <c r="B57" s="50" t="s">
        <v>431</v>
      </c>
    </row>
    <row r="58" spans="2:8" ht="15" customHeight="1">
      <c r="B58" s="9" t="s">
        <v>314</v>
      </c>
    </row>
    <row r="59" spans="2:8" ht="15" customHeight="1">
      <c r="B59" s="761" t="s">
        <v>1681</v>
      </c>
      <c r="C59" s="762"/>
    </row>
    <row r="60" spans="2:8" ht="15" customHeight="1">
      <c r="B60" s="763"/>
      <c r="C60" s="762"/>
    </row>
    <row r="61" spans="2:8" ht="15" customHeight="1">
      <c r="B61" s="538" t="s">
        <v>414</v>
      </c>
      <c r="C61" s="764" t="s">
        <v>257</v>
      </c>
    </row>
    <row r="62" spans="2:8" ht="15" customHeight="1">
      <c r="B62" s="765" t="s">
        <v>1678</v>
      </c>
      <c r="C62" s="771">
        <v>4923</v>
      </c>
    </row>
    <row r="63" spans="2:8" ht="15" customHeight="1">
      <c r="B63" s="767" t="s">
        <v>409</v>
      </c>
      <c r="C63" s="772">
        <v>1568</v>
      </c>
    </row>
    <row r="64" spans="2:8" ht="15" customHeight="1">
      <c r="B64" s="767" t="s">
        <v>410</v>
      </c>
      <c r="C64" s="772">
        <v>2065</v>
      </c>
    </row>
    <row r="65" spans="2:8" ht="15" customHeight="1">
      <c r="B65" s="767" t="s">
        <v>411</v>
      </c>
      <c r="C65" s="772">
        <v>1290</v>
      </c>
    </row>
    <row r="66" spans="2:8" ht="15" customHeight="1">
      <c r="B66" s="765" t="s">
        <v>1679</v>
      </c>
      <c r="C66" s="769">
        <v>4305</v>
      </c>
    </row>
    <row r="67" spans="2:8" ht="15" customHeight="1">
      <c r="B67" s="767" t="s">
        <v>409</v>
      </c>
      <c r="C67" s="772">
        <v>1568</v>
      </c>
    </row>
    <row r="68" spans="2:8" ht="15" customHeight="1">
      <c r="B68" s="767" t="s">
        <v>410</v>
      </c>
      <c r="C68" s="772">
        <v>2065</v>
      </c>
    </row>
    <row r="69" spans="2:8" ht="15" customHeight="1">
      <c r="B69" s="767" t="s">
        <v>411</v>
      </c>
      <c r="C69" s="773">
        <v>672</v>
      </c>
    </row>
    <row r="70" spans="2:8" ht="15" customHeight="1">
      <c r="B70" s="770" t="s">
        <v>1680</v>
      </c>
      <c r="C70" s="774">
        <v>0.874</v>
      </c>
    </row>
    <row r="71" spans="2:8" ht="15" customHeight="1">
      <c r="B71" s="105" t="s">
        <v>409</v>
      </c>
      <c r="C71" s="775">
        <v>1</v>
      </c>
    </row>
    <row r="72" spans="2:8" ht="15" customHeight="1">
      <c r="B72" s="105" t="s">
        <v>410</v>
      </c>
      <c r="C72" s="775">
        <v>1</v>
      </c>
    </row>
    <row r="73" spans="2:8" ht="15" customHeight="1">
      <c r="B73" s="105" t="s">
        <v>411</v>
      </c>
      <c r="C73" s="775">
        <v>0.52100000000000002</v>
      </c>
    </row>
    <row r="74" spans="2:8" ht="15" customHeight="1">
      <c r="B74" s="50" t="s">
        <v>431</v>
      </c>
    </row>
    <row r="75" spans="2:8" ht="15" customHeight="1">
      <c r="B75" s="9"/>
    </row>
    <row r="76" spans="2:8" ht="15" customHeight="1">
      <c r="B76" s="88" t="s">
        <v>1683</v>
      </c>
    </row>
    <row r="77" spans="2:8" ht="15" customHeight="1">
      <c r="B77" s="95" t="s">
        <v>376</v>
      </c>
      <c r="C77" s="71">
        <v>2017</v>
      </c>
      <c r="D77" s="71">
        <v>2018</v>
      </c>
      <c r="E77" s="71">
        <v>2019</v>
      </c>
      <c r="F77" s="71" t="s">
        <v>335</v>
      </c>
      <c r="G77" s="71" t="s">
        <v>1432</v>
      </c>
      <c r="H77" s="71" t="s">
        <v>257</v>
      </c>
    </row>
    <row r="78" spans="2:8" ht="15" customHeight="1">
      <c r="B78" s="96" t="s">
        <v>1433</v>
      </c>
      <c r="C78" s="182">
        <v>1777</v>
      </c>
      <c r="D78" s="182">
        <v>2057</v>
      </c>
      <c r="E78" s="182">
        <v>2262</v>
      </c>
      <c r="F78" s="182">
        <v>3048</v>
      </c>
      <c r="G78" s="182">
        <v>3317</v>
      </c>
      <c r="H78" s="182">
        <v>3479</v>
      </c>
    </row>
    <row r="79" spans="2:8" ht="15" customHeight="1">
      <c r="B79" s="207" t="s">
        <v>258</v>
      </c>
      <c r="C79" s="132">
        <v>314</v>
      </c>
      <c r="D79" s="132">
        <v>440</v>
      </c>
      <c r="E79" s="132">
        <v>528</v>
      </c>
      <c r="F79" s="128">
        <v>1815</v>
      </c>
      <c r="G79" s="134">
        <v>2548</v>
      </c>
      <c r="H79" s="134">
        <v>2802</v>
      </c>
    </row>
    <row r="80" spans="2:8" ht="15" customHeight="1">
      <c r="B80" s="207" t="s">
        <v>259</v>
      </c>
      <c r="C80" s="128">
        <v>1173</v>
      </c>
      <c r="D80" s="128">
        <v>1173</v>
      </c>
      <c r="E80" s="128">
        <v>1223</v>
      </c>
      <c r="F80" s="128">
        <v>1696</v>
      </c>
      <c r="G80" s="128">
        <v>2686</v>
      </c>
      <c r="H80" s="128">
        <v>2846</v>
      </c>
    </row>
    <row r="81" spans="2:8" ht="15" customHeight="1">
      <c r="B81" s="207" t="s">
        <v>1263</v>
      </c>
      <c r="C81" s="132">
        <v>852</v>
      </c>
      <c r="D81" s="132">
        <v>975</v>
      </c>
      <c r="E81" s="132">
        <v>997</v>
      </c>
      <c r="F81" s="128">
        <v>1317</v>
      </c>
      <c r="G81" s="128">
        <v>1599</v>
      </c>
      <c r="H81" s="128">
        <v>1613</v>
      </c>
    </row>
    <row r="82" spans="2:8" ht="15" customHeight="1">
      <c r="B82" s="207" t="s">
        <v>1264</v>
      </c>
      <c r="C82" s="132">
        <v>175</v>
      </c>
      <c r="D82" s="132">
        <v>200</v>
      </c>
      <c r="E82" s="132">
        <v>221</v>
      </c>
      <c r="F82" s="132">
        <v>248</v>
      </c>
      <c r="G82" s="132">
        <v>322</v>
      </c>
      <c r="H82" s="132">
        <v>363</v>
      </c>
    </row>
    <row r="83" spans="2:8" ht="15" customHeight="1">
      <c r="B83" s="96" t="s">
        <v>1434</v>
      </c>
      <c r="C83" s="182">
        <v>2942</v>
      </c>
      <c r="D83" s="182">
        <v>2514</v>
      </c>
      <c r="E83" s="182">
        <v>2444</v>
      </c>
      <c r="F83" s="182">
        <v>2096</v>
      </c>
      <c r="G83" s="182">
        <v>1525</v>
      </c>
      <c r="H83" s="182">
        <v>1444</v>
      </c>
    </row>
    <row r="84" spans="2:8" ht="15" customHeight="1">
      <c r="B84" s="207" t="s">
        <v>258</v>
      </c>
      <c r="C84" s="128">
        <v>2872</v>
      </c>
      <c r="D84" s="128">
        <v>2770</v>
      </c>
      <c r="E84" s="128">
        <v>2873</v>
      </c>
      <c r="F84" s="128">
        <v>1926</v>
      </c>
      <c r="G84" s="128">
        <v>1260</v>
      </c>
      <c r="H84" s="128">
        <v>1249</v>
      </c>
    </row>
    <row r="85" spans="2:8" ht="15" customHeight="1">
      <c r="B85" s="207" t="s">
        <v>259</v>
      </c>
      <c r="C85" s="128">
        <v>1704</v>
      </c>
      <c r="D85" s="128">
        <v>1736</v>
      </c>
      <c r="E85" s="128">
        <v>1738</v>
      </c>
      <c r="F85" s="128">
        <v>1995</v>
      </c>
      <c r="G85" s="128">
        <v>1145</v>
      </c>
      <c r="H85" s="128">
        <v>1086</v>
      </c>
    </row>
    <row r="86" spans="2:8" ht="15" customHeight="1">
      <c r="B86" s="207" t="s">
        <v>1263</v>
      </c>
      <c r="C86" s="132">
        <v>715</v>
      </c>
      <c r="D86" s="132">
        <v>441</v>
      </c>
      <c r="E86" s="132">
        <v>455</v>
      </c>
      <c r="F86" s="132">
        <v>552</v>
      </c>
      <c r="G86" s="132">
        <v>359</v>
      </c>
      <c r="H86" s="132">
        <v>364</v>
      </c>
    </row>
    <row r="87" spans="2:8" ht="15" customHeight="1">
      <c r="B87" s="207" t="s">
        <v>1264</v>
      </c>
      <c r="C87" s="132">
        <v>210</v>
      </c>
      <c r="D87" s="132">
        <v>150</v>
      </c>
      <c r="E87" s="132">
        <v>110</v>
      </c>
      <c r="F87" s="132">
        <v>96</v>
      </c>
      <c r="G87" s="132">
        <v>100</v>
      </c>
      <c r="H87" s="132">
        <v>107</v>
      </c>
    </row>
    <row r="88" spans="2:8" ht="15" customHeight="1">
      <c r="B88" s="96" t="s">
        <v>1435</v>
      </c>
      <c r="C88" s="258">
        <v>0.377</v>
      </c>
      <c r="D88" s="258">
        <v>0.45</v>
      </c>
      <c r="E88" s="258">
        <v>0.48099999999999998</v>
      </c>
      <c r="F88" s="258">
        <v>0.59299999999999997</v>
      </c>
      <c r="G88" s="258">
        <v>0.68500000000000005</v>
      </c>
      <c r="H88" s="258">
        <v>0.70699999999999996</v>
      </c>
    </row>
    <row r="89" spans="2:8" ht="15" customHeight="1">
      <c r="B89" s="207" t="s">
        <v>1436</v>
      </c>
      <c r="C89" s="118">
        <v>9.9000000000000005E-2</v>
      </c>
      <c r="D89" s="118">
        <v>0.13700000000000001</v>
      </c>
      <c r="E89" s="118">
        <v>0.155</v>
      </c>
      <c r="F89" s="118">
        <v>0.48499999999999999</v>
      </c>
      <c r="G89" s="118">
        <v>0.66910000000000003</v>
      </c>
      <c r="H89" s="118">
        <v>0.69199999999999995</v>
      </c>
    </row>
    <row r="90" spans="2:8" ht="15" customHeight="1">
      <c r="B90" s="207" t="s">
        <v>1437</v>
      </c>
      <c r="C90" s="118">
        <v>0.40799999999999997</v>
      </c>
      <c r="D90" s="118">
        <v>0.40300000000000002</v>
      </c>
      <c r="E90" s="118">
        <v>0.41299999999999998</v>
      </c>
      <c r="F90" s="118">
        <v>0.45900000000000002</v>
      </c>
      <c r="G90" s="118">
        <v>0.70109999999999995</v>
      </c>
      <c r="H90" s="118">
        <v>0.72399999999999998</v>
      </c>
    </row>
    <row r="91" spans="2:8" ht="15" customHeight="1">
      <c r="B91" s="207" t="s">
        <v>1438</v>
      </c>
      <c r="C91" s="118">
        <v>0.54400000000000004</v>
      </c>
      <c r="D91" s="118">
        <v>0.68899999999999995</v>
      </c>
      <c r="E91" s="118">
        <v>0.68700000000000006</v>
      </c>
      <c r="F91" s="118">
        <v>0.70499999999999996</v>
      </c>
      <c r="G91" s="118">
        <v>0.81659999999999999</v>
      </c>
      <c r="H91" s="118">
        <v>0.81599999999999995</v>
      </c>
    </row>
    <row r="92" spans="2:8" ht="15" customHeight="1">
      <c r="B92" s="207" t="s">
        <v>1439</v>
      </c>
      <c r="C92" s="118">
        <v>0.45500000000000002</v>
      </c>
      <c r="D92" s="118">
        <v>0.57099999999999995</v>
      </c>
      <c r="E92" s="118">
        <v>0.66800000000000004</v>
      </c>
      <c r="F92" s="118">
        <v>0.72099999999999997</v>
      </c>
      <c r="G92" s="118">
        <v>0.76300000000000001</v>
      </c>
      <c r="H92" s="118">
        <v>0.77200000000000002</v>
      </c>
    </row>
    <row r="93" spans="2:8">
      <c r="B93" s="11" t="s">
        <v>1277</v>
      </c>
    </row>
    <row r="94" spans="2:8" ht="15.5">
      <c r="B94" s="7"/>
    </row>
    <row r="95" spans="2:8" ht="15.5">
      <c r="B95" s="88" t="s">
        <v>1684</v>
      </c>
      <c r="C95" s="17"/>
      <c r="D95" s="17"/>
      <c r="E95" s="17"/>
      <c r="F95" s="17"/>
      <c r="G95" s="17"/>
    </row>
    <row r="96" spans="2:8" ht="15.65" customHeight="1">
      <c r="B96" s="77" t="s">
        <v>1440</v>
      </c>
      <c r="C96" s="71" t="s">
        <v>1441</v>
      </c>
      <c r="D96" s="71" t="s">
        <v>1442</v>
      </c>
      <c r="E96" s="71" t="s">
        <v>1443</v>
      </c>
      <c r="F96" s="71" t="s">
        <v>1444</v>
      </c>
      <c r="G96" s="71" t="s">
        <v>1445</v>
      </c>
    </row>
    <row r="97" spans="2:7" ht="15.5">
      <c r="B97" s="104" t="s">
        <v>1446</v>
      </c>
      <c r="C97" s="182">
        <v>3850</v>
      </c>
      <c r="D97" s="284">
        <v>44</v>
      </c>
      <c r="E97" s="284">
        <v>18</v>
      </c>
      <c r="F97" s="284">
        <v>15</v>
      </c>
      <c r="G97" s="284">
        <v>15</v>
      </c>
    </row>
    <row r="98" spans="2:7" ht="15.5">
      <c r="B98" s="255" t="s">
        <v>258</v>
      </c>
      <c r="C98" s="128">
        <v>2993</v>
      </c>
      <c r="D98" s="132">
        <v>20</v>
      </c>
      <c r="E98" s="132">
        <v>2</v>
      </c>
      <c r="F98" s="132">
        <v>11</v>
      </c>
      <c r="G98" s="132">
        <v>12</v>
      </c>
    </row>
    <row r="99" spans="2:7" ht="15.5">
      <c r="B99" s="255" t="s">
        <v>259</v>
      </c>
      <c r="C99" s="128">
        <v>3246</v>
      </c>
      <c r="D99" s="132">
        <v>27</v>
      </c>
      <c r="E99" s="132">
        <v>2</v>
      </c>
      <c r="F99" s="132">
        <v>11</v>
      </c>
      <c r="G99" s="132">
        <v>13</v>
      </c>
    </row>
    <row r="100" spans="2:7" ht="15.5">
      <c r="B100" s="255" t="s">
        <v>1263</v>
      </c>
      <c r="C100" s="128">
        <v>1785</v>
      </c>
      <c r="D100" s="132">
        <v>24</v>
      </c>
      <c r="E100" s="132">
        <v>11</v>
      </c>
      <c r="F100" s="132">
        <v>9</v>
      </c>
      <c r="G100" s="132">
        <v>2</v>
      </c>
    </row>
    <row r="101" spans="2:7" ht="15.5">
      <c r="B101" s="255" t="s">
        <v>1264</v>
      </c>
      <c r="C101" s="132">
        <v>245</v>
      </c>
      <c r="D101" s="132">
        <v>10</v>
      </c>
      <c r="E101" s="132">
        <v>4</v>
      </c>
      <c r="F101" s="132">
        <v>1</v>
      </c>
      <c r="G101" s="132" t="s">
        <v>731</v>
      </c>
    </row>
    <row r="102" spans="2:7" ht="15.5">
      <c r="B102" s="104" t="s">
        <v>1447</v>
      </c>
      <c r="C102" s="284">
        <v>128</v>
      </c>
      <c r="D102" s="182">
        <v>3934</v>
      </c>
      <c r="E102" s="182">
        <v>3960</v>
      </c>
      <c r="F102" s="182">
        <v>3963</v>
      </c>
      <c r="G102" s="182">
        <v>3963</v>
      </c>
    </row>
    <row r="103" spans="2:7" ht="15.5">
      <c r="B103" s="255" t="s">
        <v>258</v>
      </c>
      <c r="C103" s="132">
        <v>115</v>
      </c>
      <c r="D103" s="128">
        <v>3088</v>
      </c>
      <c r="E103" s="128">
        <v>3106</v>
      </c>
      <c r="F103" s="128">
        <v>3097</v>
      </c>
      <c r="G103" s="128">
        <v>3096</v>
      </c>
    </row>
    <row r="104" spans="2:7" ht="15.5">
      <c r="B104" s="255" t="s">
        <v>259</v>
      </c>
      <c r="C104" s="132">
        <v>139</v>
      </c>
      <c r="D104" s="128">
        <v>3358</v>
      </c>
      <c r="E104" s="128">
        <v>3383</v>
      </c>
      <c r="F104" s="128">
        <v>3374</v>
      </c>
      <c r="G104" s="128">
        <v>3372</v>
      </c>
    </row>
    <row r="105" spans="2:7" ht="15.5">
      <c r="B105" s="255" t="s">
        <v>1263</v>
      </c>
      <c r="C105" s="132">
        <v>43</v>
      </c>
      <c r="D105" s="128">
        <v>1804</v>
      </c>
      <c r="E105" s="128">
        <v>1817</v>
      </c>
      <c r="F105" s="128">
        <v>1819</v>
      </c>
      <c r="G105" s="128">
        <v>1826</v>
      </c>
    </row>
    <row r="106" spans="2:7" ht="15.5">
      <c r="B106" s="255" t="s">
        <v>1264</v>
      </c>
      <c r="C106" s="132">
        <v>54</v>
      </c>
      <c r="D106" s="132">
        <v>289</v>
      </c>
      <c r="E106" s="132">
        <v>295</v>
      </c>
      <c r="F106" s="132">
        <v>298</v>
      </c>
      <c r="G106" s="132">
        <v>299</v>
      </c>
    </row>
    <row r="107" spans="2:7" ht="15.5">
      <c r="B107" s="104" t="s">
        <v>430</v>
      </c>
      <c r="C107" s="258">
        <v>0.96799999999999997</v>
      </c>
      <c r="D107" s="258">
        <v>1.0999999999999999E-2</v>
      </c>
      <c r="E107" s="258">
        <v>5.0000000000000001E-3</v>
      </c>
      <c r="F107" s="258">
        <v>4.0000000000000001E-3</v>
      </c>
      <c r="G107" s="258">
        <v>4.0000000000000001E-3</v>
      </c>
    </row>
    <row r="108" spans="2:7" ht="15.5">
      <c r="B108" s="255" t="s">
        <v>258</v>
      </c>
      <c r="C108" s="228">
        <v>0.96299999999999997</v>
      </c>
      <c r="D108" s="228">
        <v>6.0000000000000001E-3</v>
      </c>
      <c r="E108" s="228">
        <v>1E-3</v>
      </c>
      <c r="F108" s="228">
        <v>4.0000000000000001E-3</v>
      </c>
      <c r="G108" s="228">
        <v>4.0000000000000001E-3</v>
      </c>
    </row>
    <row r="109" spans="2:7" ht="15.5">
      <c r="B109" s="255" t="s">
        <v>259</v>
      </c>
      <c r="C109" s="228">
        <v>0.95899999999999996</v>
      </c>
      <c r="D109" s="228">
        <v>8.0000000000000002E-3</v>
      </c>
      <c r="E109" s="228">
        <v>1E-3</v>
      </c>
      <c r="F109" s="228">
        <v>3.0000000000000001E-3</v>
      </c>
      <c r="G109" s="228">
        <v>4.0000000000000001E-3</v>
      </c>
    </row>
    <row r="110" spans="2:7" ht="15.5">
      <c r="B110" s="255" t="s">
        <v>1263</v>
      </c>
      <c r="C110" s="228">
        <v>0.97599999999999998</v>
      </c>
      <c r="D110" s="228">
        <v>1.2999999999999999E-2</v>
      </c>
      <c r="E110" s="228">
        <v>6.0000000000000001E-3</v>
      </c>
      <c r="F110" s="228">
        <v>5.0000000000000001E-3</v>
      </c>
      <c r="G110" s="228">
        <v>1E-3</v>
      </c>
    </row>
    <row r="111" spans="2:7" ht="15.5">
      <c r="B111" s="255" t="s">
        <v>1264</v>
      </c>
      <c r="C111" s="118">
        <v>0.81899999999999995</v>
      </c>
      <c r="D111" s="118">
        <v>3.3000000000000002E-2</v>
      </c>
      <c r="E111" s="118">
        <v>1.2999999999999999E-2</v>
      </c>
      <c r="F111" s="118">
        <v>3.0000000000000001E-3</v>
      </c>
      <c r="G111" s="118">
        <v>0</v>
      </c>
    </row>
    <row r="112" spans="2:7">
      <c r="B112" s="11" t="s">
        <v>1448</v>
      </c>
    </row>
    <row r="113" spans="2:2">
      <c r="B113" s="9" t="s">
        <v>314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3"/>
  <sheetViews>
    <sheetView showGridLines="0" workbookViewId="0">
      <selection activeCell="B6" sqref="B6"/>
    </sheetView>
  </sheetViews>
  <sheetFormatPr defaultRowHeight="14.5"/>
  <cols>
    <col min="2" max="2" width="49.6328125" customWidth="1"/>
    <col min="3" max="3" width="14.26953125" customWidth="1"/>
    <col min="4" max="4" width="14.81640625" customWidth="1"/>
    <col min="5" max="5" width="13.7265625" customWidth="1"/>
    <col min="6" max="6" width="13.26953125" customWidth="1"/>
    <col min="7" max="7" width="14.26953125" customWidth="1"/>
    <col min="8" max="8" width="12.453125" customWidth="1"/>
  </cols>
  <sheetData>
    <row r="2" spans="2:8" ht="15.5">
      <c r="B2" s="22" t="s">
        <v>211</v>
      </c>
    </row>
    <row r="3" spans="2:8" ht="15.5">
      <c r="B3" s="15"/>
    </row>
    <row r="4" spans="2:8" ht="15.5">
      <c r="B4" s="18" t="s">
        <v>212</v>
      </c>
      <c r="C4" s="6"/>
    </row>
    <row r="5" spans="2:8" ht="15.5">
      <c r="B5" s="18"/>
      <c r="C5" s="6"/>
    </row>
    <row r="6" spans="2:8" ht="15.5">
      <c r="B6" s="88" t="s">
        <v>1449</v>
      </c>
    </row>
    <row r="7" spans="2:8" ht="15.5">
      <c r="B7" s="62" t="s">
        <v>611</v>
      </c>
      <c r="C7" s="63">
        <v>2017</v>
      </c>
      <c r="D7" s="63">
        <v>2018</v>
      </c>
      <c r="E7" s="63">
        <v>2019</v>
      </c>
      <c r="F7" s="63" t="s">
        <v>335</v>
      </c>
      <c r="G7" s="63" t="s">
        <v>256</v>
      </c>
      <c r="H7" s="63" t="s">
        <v>257</v>
      </c>
    </row>
    <row r="8" spans="2:8" ht="15.5">
      <c r="B8" s="30" t="s">
        <v>1394</v>
      </c>
      <c r="C8" s="149">
        <v>764</v>
      </c>
      <c r="D8" s="148">
        <v>1010</v>
      </c>
      <c r="E8" s="148">
        <v>1434</v>
      </c>
      <c r="F8" s="148">
        <v>2115</v>
      </c>
      <c r="G8" s="148">
        <v>3301</v>
      </c>
      <c r="H8" s="148">
        <v>3344</v>
      </c>
    </row>
    <row r="9" spans="2:8" ht="15.5">
      <c r="B9" s="238" t="s">
        <v>258</v>
      </c>
      <c r="C9" s="116">
        <v>183</v>
      </c>
      <c r="D9" s="132">
        <v>264</v>
      </c>
      <c r="E9" s="132">
        <v>356</v>
      </c>
      <c r="F9" s="116">
        <v>580</v>
      </c>
      <c r="G9" s="196">
        <v>2563</v>
      </c>
      <c r="H9" s="196">
        <v>2730</v>
      </c>
    </row>
    <row r="10" spans="2:8" ht="15.5">
      <c r="B10" s="238" t="s">
        <v>259</v>
      </c>
      <c r="C10" s="116">
        <v>522</v>
      </c>
      <c r="D10" s="132">
        <v>684</v>
      </c>
      <c r="E10" s="132">
        <v>686</v>
      </c>
      <c r="F10" s="144">
        <v>1390</v>
      </c>
      <c r="G10" s="144">
        <v>2666</v>
      </c>
      <c r="H10" s="144">
        <v>2710</v>
      </c>
    </row>
    <row r="11" spans="2:8" ht="15.5">
      <c r="B11" s="238" t="s">
        <v>1263</v>
      </c>
      <c r="C11" s="116">
        <v>280</v>
      </c>
      <c r="D11" s="116">
        <v>393</v>
      </c>
      <c r="E11" s="116">
        <v>443</v>
      </c>
      <c r="F11" s="116">
        <v>815</v>
      </c>
      <c r="G11" s="144">
        <v>1428</v>
      </c>
      <c r="H11" s="144">
        <v>1419</v>
      </c>
    </row>
    <row r="12" spans="2:8" ht="15.5">
      <c r="B12" s="238" t="s">
        <v>1264</v>
      </c>
      <c r="C12" s="116">
        <v>89</v>
      </c>
      <c r="D12" s="116">
        <v>101</v>
      </c>
      <c r="E12" s="116">
        <v>191</v>
      </c>
      <c r="F12" s="116">
        <v>233</v>
      </c>
      <c r="G12" s="116">
        <v>300</v>
      </c>
      <c r="H12" s="116">
        <v>331</v>
      </c>
    </row>
    <row r="13" spans="2:8" ht="15.5">
      <c r="B13" s="30" t="s">
        <v>1395</v>
      </c>
      <c r="C13" s="148">
        <v>3955</v>
      </c>
      <c r="D13" s="148">
        <v>3561</v>
      </c>
      <c r="E13" s="148">
        <v>3272</v>
      </c>
      <c r="F13" s="148">
        <v>3029</v>
      </c>
      <c r="G13" s="148">
        <v>1541</v>
      </c>
      <c r="H13" s="148">
        <v>1498</v>
      </c>
    </row>
    <row r="14" spans="2:8" ht="15.5">
      <c r="B14" s="238" t="s">
        <v>258</v>
      </c>
      <c r="C14" s="144">
        <v>3003</v>
      </c>
      <c r="D14" s="128">
        <v>2946</v>
      </c>
      <c r="E14" s="128">
        <v>3045</v>
      </c>
      <c r="F14" s="144">
        <v>3161</v>
      </c>
      <c r="G14" s="144">
        <v>1245</v>
      </c>
      <c r="H14" s="144">
        <v>1078</v>
      </c>
    </row>
    <row r="15" spans="2:8" ht="15.5">
      <c r="B15" s="238" t="s">
        <v>259</v>
      </c>
      <c r="C15" s="144">
        <v>2355</v>
      </c>
      <c r="D15" s="128">
        <v>2225</v>
      </c>
      <c r="E15" s="128">
        <v>2275</v>
      </c>
      <c r="F15" s="144">
        <v>2301</v>
      </c>
      <c r="G15" s="144">
        <v>1165</v>
      </c>
      <c r="H15" s="144">
        <v>1121</v>
      </c>
    </row>
    <row r="16" spans="2:8" ht="15.5">
      <c r="B16" s="238" t="s">
        <v>1263</v>
      </c>
      <c r="C16" s="144">
        <v>1287</v>
      </c>
      <c r="D16" s="144">
        <v>1023</v>
      </c>
      <c r="E16" s="144">
        <v>1009</v>
      </c>
      <c r="F16" s="144">
        <v>1054</v>
      </c>
      <c r="G16" s="116">
        <v>530</v>
      </c>
      <c r="H16" s="116">
        <v>539</v>
      </c>
    </row>
    <row r="17" spans="2:8" ht="15.5">
      <c r="B17" s="238" t="s">
        <v>1264</v>
      </c>
      <c r="C17" s="116">
        <v>296</v>
      </c>
      <c r="D17" s="116">
        <v>249</v>
      </c>
      <c r="E17" s="116">
        <v>140</v>
      </c>
      <c r="F17" s="116">
        <v>111</v>
      </c>
      <c r="G17" s="116">
        <v>122</v>
      </c>
      <c r="H17" s="116">
        <v>91</v>
      </c>
    </row>
    <row r="18" spans="2:8" ht="15.5">
      <c r="B18" s="30" t="s">
        <v>1387</v>
      </c>
      <c r="C18" s="151">
        <v>0.16200000000000001</v>
      </c>
      <c r="D18" s="151">
        <v>0.221</v>
      </c>
      <c r="E18" s="151">
        <v>0.30499999999999999</v>
      </c>
      <c r="F18" s="151">
        <v>0.41099999999999998</v>
      </c>
      <c r="G18" s="151">
        <v>0.68200000000000005</v>
      </c>
      <c r="H18" s="151">
        <v>0.69099999999999995</v>
      </c>
    </row>
    <row r="19" spans="2:8" ht="15.5">
      <c r="B19" s="238" t="s">
        <v>258</v>
      </c>
      <c r="C19" s="234">
        <v>5.7000000000000002E-2</v>
      </c>
      <c r="D19" s="118">
        <v>8.2000000000000003E-2</v>
      </c>
      <c r="E19" s="118">
        <v>0.105</v>
      </c>
      <c r="F19" s="234">
        <v>0.155</v>
      </c>
      <c r="G19" s="234">
        <v>0.67300000000000004</v>
      </c>
      <c r="H19" s="234">
        <v>0.71699999999999997</v>
      </c>
    </row>
    <row r="20" spans="2:8" ht="15.5">
      <c r="B20" s="238" t="s">
        <v>259</v>
      </c>
      <c r="C20" s="234">
        <v>0.18099999999999999</v>
      </c>
      <c r="D20" s="118">
        <v>0.23499999999999999</v>
      </c>
      <c r="E20" s="118">
        <v>0.23200000000000001</v>
      </c>
      <c r="F20" s="234">
        <v>0.377</v>
      </c>
      <c r="G20" s="234">
        <v>0.69599999999999995</v>
      </c>
      <c r="H20" s="234">
        <v>0.70699999999999996</v>
      </c>
    </row>
    <row r="21" spans="2:8" ht="15.5">
      <c r="B21" s="238" t="s">
        <v>1263</v>
      </c>
      <c r="C21" s="234">
        <v>0.17899999999999999</v>
      </c>
      <c r="D21" s="234">
        <v>0.27800000000000002</v>
      </c>
      <c r="E21" s="234">
        <v>0.30499999999999999</v>
      </c>
      <c r="F21" s="234">
        <v>0.436</v>
      </c>
      <c r="G21" s="234">
        <v>0.72899999999999998</v>
      </c>
      <c r="H21" s="234">
        <v>0.72499999999999998</v>
      </c>
    </row>
    <row r="22" spans="2:8" ht="15.5">
      <c r="B22" s="238" t="s">
        <v>1264</v>
      </c>
      <c r="C22" s="234">
        <v>0.23100000000000001</v>
      </c>
      <c r="D22" s="234">
        <v>0.28899999999999998</v>
      </c>
      <c r="E22" s="234">
        <v>0.57699999999999996</v>
      </c>
      <c r="F22" s="234">
        <v>0.67700000000000005</v>
      </c>
      <c r="G22" s="234">
        <v>0.71099999999999997</v>
      </c>
      <c r="H22" s="234">
        <v>0.78400000000000003</v>
      </c>
    </row>
    <row r="23" spans="2:8">
      <c r="B23" s="10" t="s">
        <v>1450</v>
      </c>
      <c r="C23" s="285"/>
      <c r="D23" s="285"/>
      <c r="E23" s="285"/>
      <c r="F23" s="285"/>
      <c r="G23" s="285"/>
    </row>
    <row r="24" spans="2:8" ht="15.5">
      <c r="B24" s="7"/>
    </row>
    <row r="25" spans="2:8" ht="15.5">
      <c r="B25" s="88" t="s">
        <v>1451</v>
      </c>
    </row>
    <row r="26" spans="2:8" ht="31">
      <c r="B26" s="138" t="s">
        <v>611</v>
      </c>
      <c r="C26" s="63" t="s">
        <v>409</v>
      </c>
      <c r="D26" s="71" t="s">
        <v>1452</v>
      </c>
      <c r="E26" s="63" t="s">
        <v>411</v>
      </c>
      <c r="F26" s="63" t="s">
        <v>415</v>
      </c>
    </row>
    <row r="27" spans="2:8" ht="15.5">
      <c r="B27" s="129" t="s">
        <v>1385</v>
      </c>
      <c r="C27" s="149" t="s">
        <v>1453</v>
      </c>
      <c r="D27" s="148" t="s">
        <v>1454</v>
      </c>
      <c r="E27" s="149" t="s">
        <v>1455</v>
      </c>
      <c r="F27" s="149">
        <v>2243</v>
      </c>
    </row>
    <row r="28" spans="2:8" ht="15.5">
      <c r="B28" s="286" t="s">
        <v>258</v>
      </c>
      <c r="C28" s="116" t="s">
        <v>1456</v>
      </c>
      <c r="D28" s="132" t="s">
        <v>1457</v>
      </c>
      <c r="E28" s="132" t="s">
        <v>1458</v>
      </c>
      <c r="F28" s="132">
        <v>1906</v>
      </c>
      <c r="G28" s="552">
        <f>F28+F29</f>
        <v>3891</v>
      </c>
    </row>
    <row r="29" spans="2:8" ht="15.5">
      <c r="B29" s="286" t="s">
        <v>259</v>
      </c>
      <c r="C29" s="116" t="s">
        <v>1459</v>
      </c>
      <c r="D29" s="132" t="s">
        <v>1460</v>
      </c>
      <c r="E29" s="132" t="s">
        <v>733</v>
      </c>
      <c r="F29" s="132">
        <v>1985</v>
      </c>
    </row>
    <row r="30" spans="2:8" ht="15.5">
      <c r="B30" s="286" t="s">
        <v>1263</v>
      </c>
      <c r="C30" s="116" t="s">
        <v>1461</v>
      </c>
      <c r="D30" s="116" t="s">
        <v>1462</v>
      </c>
      <c r="E30" s="116" t="s">
        <v>1463</v>
      </c>
      <c r="F30" s="116">
        <v>977</v>
      </c>
    </row>
    <row r="31" spans="2:8" ht="15.5">
      <c r="B31" s="286" t="s">
        <v>1264</v>
      </c>
      <c r="C31" s="116" t="s">
        <v>1464</v>
      </c>
      <c r="D31" s="116" t="s">
        <v>1465</v>
      </c>
      <c r="E31" s="116" t="s">
        <v>1465</v>
      </c>
      <c r="F31" s="116">
        <v>175</v>
      </c>
    </row>
    <row r="32" spans="2:8" ht="15.5">
      <c r="B32" s="129" t="s">
        <v>1386</v>
      </c>
      <c r="C32" s="149" t="s">
        <v>1466</v>
      </c>
      <c r="D32" s="148" t="s">
        <v>1467</v>
      </c>
      <c r="E32" s="149" t="s">
        <v>1468</v>
      </c>
      <c r="F32" s="149">
        <v>2680</v>
      </c>
    </row>
    <row r="33" spans="2:8" ht="15.5">
      <c r="B33" s="286" t="s">
        <v>258</v>
      </c>
      <c r="C33" s="116" t="s">
        <v>1469</v>
      </c>
      <c r="D33" s="132" t="s">
        <v>1470</v>
      </c>
      <c r="E33" s="132" t="s">
        <v>1471</v>
      </c>
      <c r="F33" s="132">
        <v>2145</v>
      </c>
    </row>
    <row r="34" spans="2:8" ht="15.5">
      <c r="B34" s="286" t="s">
        <v>259</v>
      </c>
      <c r="C34" s="116" t="s">
        <v>1472</v>
      </c>
      <c r="D34" s="132" t="s">
        <v>1473</v>
      </c>
      <c r="E34" s="132" t="s">
        <v>1474</v>
      </c>
      <c r="F34" s="132">
        <v>1947</v>
      </c>
    </row>
    <row r="35" spans="2:8" ht="15.5">
      <c r="B35" s="286" t="s">
        <v>1263</v>
      </c>
      <c r="C35" s="116" t="s">
        <v>1475</v>
      </c>
      <c r="D35" s="116" t="s">
        <v>1474</v>
      </c>
      <c r="E35" s="116" t="s">
        <v>1476</v>
      </c>
      <c r="F35" s="116">
        <v>1000</v>
      </c>
    </row>
    <row r="36" spans="2:8" ht="15.5">
      <c r="B36" s="286" t="s">
        <v>1264</v>
      </c>
      <c r="C36" s="116" t="s">
        <v>1477</v>
      </c>
      <c r="D36" s="116" t="s">
        <v>1478</v>
      </c>
      <c r="E36" s="116" t="s">
        <v>1479</v>
      </c>
      <c r="F36" s="116">
        <v>295</v>
      </c>
    </row>
    <row r="37" spans="2:8" ht="15.5">
      <c r="B37" s="324" t="s">
        <v>1387</v>
      </c>
      <c r="C37" s="151" t="s">
        <v>1480</v>
      </c>
      <c r="D37" s="151" t="s">
        <v>1481</v>
      </c>
      <c r="E37" s="151" t="s">
        <v>1482</v>
      </c>
      <c r="F37" s="151">
        <v>0.45600000000000002</v>
      </c>
    </row>
    <row r="38" spans="2:8" ht="15.5">
      <c r="B38" s="325" t="s">
        <v>258</v>
      </c>
      <c r="C38" s="234" t="s">
        <v>1483</v>
      </c>
      <c r="D38" s="118" t="s">
        <v>832</v>
      </c>
      <c r="E38" s="118" t="s">
        <v>1484</v>
      </c>
      <c r="F38" s="118">
        <v>0.47099999999999997</v>
      </c>
    </row>
    <row r="39" spans="2:8" ht="15.5">
      <c r="B39" s="325" t="s">
        <v>259</v>
      </c>
      <c r="C39" s="234" t="s">
        <v>1485</v>
      </c>
      <c r="D39" s="118" t="s">
        <v>1486</v>
      </c>
      <c r="E39" s="118" t="s">
        <v>1487</v>
      </c>
      <c r="F39" s="118">
        <v>0.505</v>
      </c>
    </row>
    <row r="40" spans="2:8" ht="15.5">
      <c r="B40" s="325" t="s">
        <v>1263</v>
      </c>
      <c r="C40" s="234" t="s">
        <v>622</v>
      </c>
      <c r="D40" s="234" t="s">
        <v>1488</v>
      </c>
      <c r="E40" s="234" t="s">
        <v>1489</v>
      </c>
      <c r="F40" s="234">
        <v>0.49399999999999999</v>
      </c>
    </row>
    <row r="41" spans="2:8" ht="15.5">
      <c r="B41" s="325" t="s">
        <v>1264</v>
      </c>
      <c r="C41" s="234" t="s">
        <v>1490</v>
      </c>
      <c r="D41" s="234" t="s">
        <v>1491</v>
      </c>
      <c r="E41" s="234" t="s">
        <v>1492</v>
      </c>
      <c r="F41" s="234">
        <v>0.372</v>
      </c>
    </row>
    <row r="42" spans="2:8">
      <c r="B42" s="156" t="s">
        <v>724</v>
      </c>
    </row>
    <row r="43" spans="2:8" ht="14.5" customHeight="1">
      <c r="B43" s="7" t="s">
        <v>314</v>
      </c>
    </row>
    <row r="44" spans="2:8">
      <c r="B44" s="12"/>
    </row>
    <row r="45" spans="2:8" ht="15.5">
      <c r="B45" s="18" t="s">
        <v>216</v>
      </c>
      <c r="C45" s="6"/>
      <c r="F45" t="s">
        <v>704</v>
      </c>
    </row>
    <row r="46" spans="2:8" ht="15.5">
      <c r="B46" s="18"/>
      <c r="C46" s="6"/>
    </row>
    <row r="47" spans="2:8" ht="15.5">
      <c r="B47" s="88" t="s">
        <v>1493</v>
      </c>
    </row>
    <row r="48" spans="2:8">
      <c r="B48" s="41" t="s">
        <v>376</v>
      </c>
      <c r="C48" s="42">
        <v>2017</v>
      </c>
      <c r="D48" s="42">
        <v>2018</v>
      </c>
      <c r="E48" s="42">
        <v>2019</v>
      </c>
      <c r="F48" s="42" t="s">
        <v>335</v>
      </c>
      <c r="G48" s="42" t="s">
        <v>256</v>
      </c>
      <c r="H48" s="42" t="s">
        <v>257</v>
      </c>
    </row>
    <row r="49" spans="2:8" ht="15.5">
      <c r="B49" s="43" t="s">
        <v>1494</v>
      </c>
      <c r="C49" s="97">
        <v>3398</v>
      </c>
      <c r="D49" s="97">
        <v>6734</v>
      </c>
      <c r="E49" s="97">
        <v>7730</v>
      </c>
      <c r="F49" s="97">
        <v>12243</v>
      </c>
      <c r="G49" s="97">
        <v>15569</v>
      </c>
      <c r="H49" s="524">
        <v>16412</v>
      </c>
    </row>
    <row r="50" spans="2:8" ht="15.5">
      <c r="B50" s="185" t="s">
        <v>625</v>
      </c>
      <c r="C50" s="128">
        <v>1976</v>
      </c>
      <c r="D50" s="128">
        <v>3496</v>
      </c>
      <c r="E50" s="128">
        <v>4060</v>
      </c>
      <c r="F50" s="128">
        <v>6106</v>
      </c>
      <c r="G50" s="128">
        <v>8056</v>
      </c>
      <c r="H50" s="128">
        <v>8521</v>
      </c>
    </row>
    <row r="51" spans="2:8" ht="15.5">
      <c r="B51" s="185" t="s">
        <v>626</v>
      </c>
      <c r="C51" s="128">
        <v>1422</v>
      </c>
      <c r="D51" s="128">
        <v>3238</v>
      </c>
      <c r="E51" s="128">
        <v>3670</v>
      </c>
      <c r="F51" s="128">
        <v>6137</v>
      </c>
      <c r="G51" s="128">
        <v>7513</v>
      </c>
      <c r="H51" s="128">
        <v>7891</v>
      </c>
    </row>
    <row r="52" spans="2:8" ht="15.5">
      <c r="B52" s="287" t="s">
        <v>627</v>
      </c>
      <c r="C52" s="118">
        <v>0.58199999999999996</v>
      </c>
      <c r="D52" s="118">
        <v>0.51900000000000002</v>
      </c>
      <c r="E52" s="118">
        <v>0.52500000000000002</v>
      </c>
      <c r="F52" s="118">
        <v>0.499</v>
      </c>
      <c r="G52" s="118">
        <v>0.51700000000000002</v>
      </c>
      <c r="H52" s="118">
        <v>0.51900000000000002</v>
      </c>
    </row>
    <row r="53" spans="2:8" ht="15.5">
      <c r="B53" s="287" t="s">
        <v>628</v>
      </c>
      <c r="C53" s="118">
        <v>0.41799999999999998</v>
      </c>
      <c r="D53" s="118">
        <v>0.48099999999999998</v>
      </c>
      <c r="E53" s="118">
        <v>0.47499999999999998</v>
      </c>
      <c r="F53" s="118">
        <v>0.501</v>
      </c>
      <c r="G53" s="118">
        <v>0.48299999999999998</v>
      </c>
      <c r="H53" s="118">
        <v>0.48099999999999998</v>
      </c>
    </row>
    <row r="54" spans="2:8" ht="15.5">
      <c r="B54" s="43" t="s">
        <v>1495</v>
      </c>
      <c r="C54" s="97">
        <v>2862</v>
      </c>
      <c r="D54" s="97">
        <v>5876</v>
      </c>
      <c r="E54" s="97">
        <v>6758</v>
      </c>
      <c r="F54" s="97">
        <v>10699</v>
      </c>
      <c r="G54" s="97">
        <v>13879</v>
      </c>
      <c r="H54" s="524">
        <v>14675</v>
      </c>
    </row>
    <row r="55" spans="2:8" ht="15.5">
      <c r="B55" s="185" t="s">
        <v>625</v>
      </c>
      <c r="C55" s="128">
        <v>1589</v>
      </c>
      <c r="D55" s="128">
        <v>2906</v>
      </c>
      <c r="E55" s="128">
        <v>3414</v>
      </c>
      <c r="F55" s="128">
        <v>5040</v>
      </c>
      <c r="G55" s="128">
        <v>6911</v>
      </c>
      <c r="H55" s="128">
        <v>7320</v>
      </c>
    </row>
    <row r="56" spans="2:8" ht="15.5">
      <c r="B56" s="185" t="s">
        <v>626</v>
      </c>
      <c r="C56" s="128">
        <v>1273</v>
      </c>
      <c r="D56" s="128">
        <v>2970</v>
      </c>
      <c r="E56" s="128">
        <v>3344</v>
      </c>
      <c r="F56" s="128">
        <v>5659</v>
      </c>
      <c r="G56" s="128">
        <v>6968</v>
      </c>
      <c r="H56" s="128">
        <v>7355</v>
      </c>
    </row>
    <row r="57" spans="2:8" ht="15.5">
      <c r="B57" s="43" t="s">
        <v>1496</v>
      </c>
      <c r="C57" s="107">
        <v>536</v>
      </c>
      <c r="D57" s="107">
        <v>858</v>
      </c>
      <c r="E57" s="107">
        <v>972</v>
      </c>
      <c r="F57" s="97">
        <v>1544</v>
      </c>
      <c r="G57" s="97">
        <v>1690</v>
      </c>
      <c r="H57" s="524">
        <v>1737</v>
      </c>
    </row>
    <row r="58" spans="2:8" ht="15.5">
      <c r="B58" s="185" t="s">
        <v>625</v>
      </c>
      <c r="C58" s="132">
        <v>387</v>
      </c>
      <c r="D58" s="132">
        <v>590</v>
      </c>
      <c r="E58" s="132">
        <v>646</v>
      </c>
      <c r="F58" s="128">
        <v>1066</v>
      </c>
      <c r="G58" s="128">
        <v>1145</v>
      </c>
      <c r="H58" s="128">
        <v>1201</v>
      </c>
    </row>
    <row r="59" spans="2:8" ht="15.5">
      <c r="B59" s="185" t="s">
        <v>626</v>
      </c>
      <c r="C59" s="132">
        <v>149</v>
      </c>
      <c r="D59" s="132">
        <v>268</v>
      </c>
      <c r="E59" s="132">
        <v>326</v>
      </c>
      <c r="F59" s="132">
        <v>478</v>
      </c>
      <c r="G59" s="132">
        <v>545</v>
      </c>
      <c r="H59" s="132">
        <v>536</v>
      </c>
    </row>
    <row r="60" spans="2:8">
      <c r="B60" s="11" t="s">
        <v>1277</v>
      </c>
    </row>
    <row r="61" spans="2:8">
      <c r="B61" s="12" t="s">
        <v>314</v>
      </c>
    </row>
    <row r="62" spans="2:8" ht="15.5">
      <c r="B62" s="6" t="s">
        <v>1497</v>
      </c>
    </row>
    <row r="63" spans="2:8">
      <c r="B63" s="41" t="s">
        <v>376</v>
      </c>
      <c r="C63" s="42">
        <v>2017</v>
      </c>
      <c r="D63" s="42">
        <v>2018</v>
      </c>
      <c r="E63" s="42">
        <v>2019</v>
      </c>
      <c r="F63" s="42" t="s">
        <v>335</v>
      </c>
      <c r="G63" s="42" t="s">
        <v>256</v>
      </c>
      <c r="H63" s="42" t="s">
        <v>257</v>
      </c>
    </row>
    <row r="64" spans="2:8">
      <c r="B64" s="43" t="s">
        <v>1498</v>
      </c>
      <c r="C64" s="44">
        <v>2862</v>
      </c>
      <c r="D64" s="44">
        <v>5876</v>
      </c>
      <c r="E64" s="44">
        <v>6758</v>
      </c>
      <c r="F64" s="44">
        <v>10699</v>
      </c>
      <c r="G64" s="44">
        <v>13879</v>
      </c>
      <c r="H64" s="44">
        <v>14675</v>
      </c>
    </row>
    <row r="65" spans="2:8">
      <c r="B65" s="185" t="s">
        <v>998</v>
      </c>
      <c r="C65" s="164">
        <v>1589</v>
      </c>
      <c r="D65" s="164">
        <v>2906</v>
      </c>
      <c r="E65" s="164">
        <v>3414</v>
      </c>
      <c r="F65" s="164">
        <v>5040</v>
      </c>
      <c r="G65" s="164">
        <v>6911</v>
      </c>
      <c r="H65" s="164">
        <v>7320</v>
      </c>
    </row>
    <row r="66" spans="2:8">
      <c r="B66" s="185" t="s">
        <v>999</v>
      </c>
      <c r="C66" s="164">
        <v>1273</v>
      </c>
      <c r="D66" s="164">
        <v>2970</v>
      </c>
      <c r="E66" s="164">
        <v>3344</v>
      </c>
      <c r="F66" s="164">
        <v>5659</v>
      </c>
      <c r="G66" s="164">
        <v>6968</v>
      </c>
      <c r="H66" s="164">
        <v>7355</v>
      </c>
    </row>
    <row r="67" spans="2:8">
      <c r="B67" s="287" t="s">
        <v>627</v>
      </c>
      <c r="C67" s="261">
        <v>0.55500000000000005</v>
      </c>
      <c r="D67" s="261">
        <v>0.495</v>
      </c>
      <c r="E67" s="261">
        <v>0.505</v>
      </c>
      <c r="F67" s="261">
        <v>0.47099999999999997</v>
      </c>
      <c r="G67" s="261">
        <v>0.498</v>
      </c>
      <c r="H67" s="261">
        <v>0.499</v>
      </c>
    </row>
    <row r="68" spans="2:8">
      <c r="B68" s="287" t="s">
        <v>628</v>
      </c>
      <c r="C68" s="261">
        <v>0.44500000000000001</v>
      </c>
      <c r="D68" s="261">
        <v>0.505</v>
      </c>
      <c r="E68" s="261">
        <v>0.495</v>
      </c>
      <c r="F68" s="261">
        <v>0.52900000000000003</v>
      </c>
      <c r="G68" s="261">
        <v>0.502</v>
      </c>
      <c r="H68" s="261">
        <v>0.501</v>
      </c>
    </row>
    <row r="69" spans="2:8">
      <c r="B69" s="43" t="s">
        <v>1499</v>
      </c>
      <c r="C69" s="187">
        <v>268</v>
      </c>
      <c r="D69" s="187">
        <v>438</v>
      </c>
      <c r="E69" s="187">
        <v>585</v>
      </c>
      <c r="F69" s="187">
        <v>666</v>
      </c>
      <c r="G69" s="187">
        <v>751</v>
      </c>
      <c r="H69" s="187">
        <v>797</v>
      </c>
    </row>
    <row r="70" spans="2:8">
      <c r="B70" s="185" t="s">
        <v>998</v>
      </c>
      <c r="C70" s="184">
        <v>41</v>
      </c>
      <c r="D70" s="184">
        <v>68</v>
      </c>
      <c r="E70" s="184">
        <v>89</v>
      </c>
      <c r="F70" s="184">
        <v>108</v>
      </c>
      <c r="G70" s="184">
        <v>128</v>
      </c>
      <c r="H70" s="184">
        <v>139</v>
      </c>
    </row>
    <row r="71" spans="2:8">
      <c r="B71" s="185" t="s">
        <v>999</v>
      </c>
      <c r="C71" s="184">
        <v>227</v>
      </c>
      <c r="D71" s="184">
        <v>370</v>
      </c>
      <c r="E71" s="184">
        <v>496</v>
      </c>
      <c r="F71" s="184">
        <v>558</v>
      </c>
      <c r="G71" s="184">
        <v>623</v>
      </c>
      <c r="H71" s="184">
        <v>658</v>
      </c>
    </row>
    <row r="72" spans="2:8">
      <c r="B72" s="43" t="s">
        <v>1500</v>
      </c>
      <c r="C72" s="44">
        <v>1414</v>
      </c>
      <c r="D72" s="44">
        <v>3818</v>
      </c>
      <c r="E72" s="44">
        <v>4181</v>
      </c>
      <c r="F72" s="44">
        <v>7047</v>
      </c>
      <c r="G72" s="44">
        <v>8707</v>
      </c>
      <c r="H72" s="44">
        <v>9290</v>
      </c>
    </row>
    <row r="73" spans="2:8">
      <c r="B73" s="185" t="s">
        <v>998</v>
      </c>
      <c r="C73" s="184">
        <v>708</v>
      </c>
      <c r="D73" s="164">
        <v>1728</v>
      </c>
      <c r="E73" s="164">
        <v>1953</v>
      </c>
      <c r="F73" s="164">
        <v>2845</v>
      </c>
      <c r="G73" s="164">
        <v>3676</v>
      </c>
      <c r="H73" s="164">
        <v>3949</v>
      </c>
    </row>
    <row r="74" spans="2:8">
      <c r="B74" s="185" t="s">
        <v>999</v>
      </c>
      <c r="C74" s="184">
        <v>706</v>
      </c>
      <c r="D74" s="164">
        <v>2090</v>
      </c>
      <c r="E74" s="164">
        <v>2228</v>
      </c>
      <c r="F74" s="164">
        <v>4202</v>
      </c>
      <c r="G74" s="164">
        <v>5031</v>
      </c>
      <c r="H74" s="164">
        <v>5341</v>
      </c>
    </row>
    <row r="75" spans="2:8">
      <c r="B75" s="43" t="s">
        <v>1501</v>
      </c>
      <c r="C75" s="44">
        <v>1180</v>
      </c>
      <c r="D75" s="44">
        <v>1620</v>
      </c>
      <c r="E75" s="44">
        <v>1992</v>
      </c>
      <c r="F75" s="44">
        <v>2986</v>
      </c>
      <c r="G75" s="44">
        <v>4421</v>
      </c>
      <c r="H75" s="44">
        <v>4588</v>
      </c>
    </row>
    <row r="76" spans="2:8">
      <c r="B76" s="185" t="s">
        <v>998</v>
      </c>
      <c r="C76" s="184">
        <v>840</v>
      </c>
      <c r="D76" s="164">
        <v>1110</v>
      </c>
      <c r="E76" s="164">
        <v>1372</v>
      </c>
      <c r="F76" s="164">
        <v>2087</v>
      </c>
      <c r="G76" s="164">
        <v>3107</v>
      </c>
      <c r="H76" s="164">
        <v>3232</v>
      </c>
    </row>
    <row r="77" spans="2:8">
      <c r="B77" s="185" t="s">
        <v>999</v>
      </c>
      <c r="C77" s="184">
        <v>340</v>
      </c>
      <c r="D77" s="184">
        <v>510</v>
      </c>
      <c r="E77" s="184">
        <v>620</v>
      </c>
      <c r="F77" s="184">
        <v>899</v>
      </c>
      <c r="G77" s="164">
        <v>1314</v>
      </c>
      <c r="H77" s="164">
        <v>1356</v>
      </c>
    </row>
    <row r="78" spans="2:8">
      <c r="B78" s="11" t="s">
        <v>1277</v>
      </c>
    </row>
    <row r="79" spans="2:8">
      <c r="B79" s="12" t="s">
        <v>314</v>
      </c>
    </row>
    <row r="80" spans="2:8" ht="15.5">
      <c r="B80" s="18" t="s">
        <v>219</v>
      </c>
      <c r="C80" s="6"/>
      <c r="D80" s="6"/>
      <c r="E80" s="6"/>
      <c r="F80" s="6"/>
      <c r="G80" s="6"/>
      <c r="H80" s="6"/>
    </row>
    <row r="81" spans="2:8" ht="15.5">
      <c r="B81" s="18"/>
      <c r="C81" s="6"/>
      <c r="D81" s="6"/>
      <c r="E81" s="6"/>
      <c r="F81" s="6"/>
      <c r="G81" s="6"/>
      <c r="H81" s="6"/>
    </row>
    <row r="82" spans="2:8" ht="15.5">
      <c r="B82" s="6" t="s">
        <v>1502</v>
      </c>
    </row>
    <row r="83" spans="2:8">
      <c r="B83" s="463" t="s">
        <v>1503</v>
      </c>
      <c r="C83" s="716" t="s">
        <v>1504</v>
      </c>
      <c r="D83" s="716" t="s">
        <v>1505</v>
      </c>
      <c r="E83" s="716" t="s">
        <v>1506</v>
      </c>
      <c r="F83" s="716" t="s">
        <v>1507</v>
      </c>
      <c r="G83" s="716" t="s">
        <v>1508</v>
      </c>
      <c r="H83" s="717" t="s">
        <v>1509</v>
      </c>
    </row>
    <row r="84" spans="2:8" ht="15.5">
      <c r="B84" s="468" t="s">
        <v>1510</v>
      </c>
      <c r="C84" s="713">
        <v>31770</v>
      </c>
      <c r="D84" s="713">
        <v>23244</v>
      </c>
      <c r="E84" s="713">
        <v>23441</v>
      </c>
      <c r="F84" s="713">
        <v>30729</v>
      </c>
      <c r="G84" s="713">
        <v>38937</v>
      </c>
      <c r="H84" s="713">
        <v>40342</v>
      </c>
    </row>
    <row r="85" spans="2:8">
      <c r="B85" s="469" t="s">
        <v>1511</v>
      </c>
      <c r="C85" s="711">
        <v>16807</v>
      </c>
      <c r="D85" s="711">
        <v>12955</v>
      </c>
      <c r="E85" s="711">
        <v>12780</v>
      </c>
      <c r="F85" s="711">
        <v>16978</v>
      </c>
      <c r="G85" s="711">
        <v>21615</v>
      </c>
      <c r="H85" s="711">
        <v>22497</v>
      </c>
    </row>
    <row r="86" spans="2:8">
      <c r="B86" s="469" t="s">
        <v>1512</v>
      </c>
      <c r="C86" s="711">
        <v>14963</v>
      </c>
      <c r="D86" s="711">
        <v>10289</v>
      </c>
      <c r="E86" s="711">
        <v>10661</v>
      </c>
      <c r="F86" s="711">
        <v>13751</v>
      </c>
      <c r="G86" s="711">
        <v>17322</v>
      </c>
      <c r="H86" s="711">
        <v>17845</v>
      </c>
    </row>
    <row r="87" spans="2:8">
      <c r="B87" s="470" t="s">
        <v>1513</v>
      </c>
      <c r="C87" s="714">
        <v>0.52900000000000003</v>
      </c>
      <c r="D87" s="714">
        <v>0.55700000000000005</v>
      </c>
      <c r="E87" s="714">
        <v>0.54500000000000004</v>
      </c>
      <c r="F87" s="714">
        <v>0.55300000000000005</v>
      </c>
      <c r="G87" s="714">
        <v>0.55500000000000005</v>
      </c>
      <c r="H87" s="714">
        <v>0.55800000000000005</v>
      </c>
    </row>
    <row r="88" spans="2:8">
      <c r="B88" s="470" t="s">
        <v>1514</v>
      </c>
      <c r="C88" s="714">
        <v>0.47099999999999997</v>
      </c>
      <c r="D88" s="714">
        <v>0.443</v>
      </c>
      <c r="E88" s="714">
        <v>0.45500000000000002</v>
      </c>
      <c r="F88" s="714">
        <v>0.44700000000000001</v>
      </c>
      <c r="G88" s="714">
        <v>0.44500000000000001</v>
      </c>
      <c r="H88" s="714">
        <v>0.442</v>
      </c>
    </row>
    <row r="89" spans="2:8">
      <c r="B89" s="468" t="s">
        <v>1515</v>
      </c>
      <c r="C89" s="713">
        <v>1362</v>
      </c>
      <c r="D89" s="713">
        <v>1253</v>
      </c>
      <c r="E89" s="713">
        <v>1931</v>
      </c>
      <c r="F89" s="713">
        <v>2220</v>
      </c>
      <c r="G89" s="713">
        <v>2782</v>
      </c>
      <c r="H89" s="713">
        <v>3085</v>
      </c>
    </row>
    <row r="90" spans="2:8">
      <c r="B90" s="469" t="s">
        <v>1511</v>
      </c>
      <c r="C90" s="712">
        <v>829</v>
      </c>
      <c r="D90" s="712">
        <v>743</v>
      </c>
      <c r="E90" s="711">
        <v>1077</v>
      </c>
      <c r="F90" s="711">
        <v>1297</v>
      </c>
      <c r="G90" s="711">
        <v>1633</v>
      </c>
      <c r="H90" s="711">
        <v>1790</v>
      </c>
    </row>
    <row r="91" spans="2:8">
      <c r="B91" s="469" t="s">
        <v>1512</v>
      </c>
      <c r="C91" s="712">
        <v>533</v>
      </c>
      <c r="D91" s="712">
        <v>510</v>
      </c>
      <c r="E91" s="712">
        <v>854</v>
      </c>
      <c r="F91" s="712">
        <v>923</v>
      </c>
      <c r="G91" s="711">
        <v>1149</v>
      </c>
      <c r="H91" s="711">
        <v>1295</v>
      </c>
    </row>
    <row r="92" spans="2:8">
      <c r="B92" s="468" t="s">
        <v>1516</v>
      </c>
      <c r="C92" s="713">
        <v>24980</v>
      </c>
      <c r="D92" s="713">
        <v>17133</v>
      </c>
      <c r="E92" s="713">
        <v>16021</v>
      </c>
      <c r="F92" s="713">
        <v>23427</v>
      </c>
      <c r="G92" s="713">
        <v>30123</v>
      </c>
      <c r="H92" s="713">
        <v>31159</v>
      </c>
    </row>
    <row r="93" spans="2:8">
      <c r="B93" s="469" t="s">
        <v>1511</v>
      </c>
      <c r="C93" s="711">
        <v>13317</v>
      </c>
      <c r="D93" s="711">
        <v>9669</v>
      </c>
      <c r="E93" s="711">
        <v>8953</v>
      </c>
      <c r="F93" s="711">
        <v>13027</v>
      </c>
      <c r="G93" s="711">
        <v>16848</v>
      </c>
      <c r="H93" s="711">
        <v>17518</v>
      </c>
    </row>
    <row r="94" spans="2:8">
      <c r="B94" s="469" t="s">
        <v>1512</v>
      </c>
      <c r="C94" s="711">
        <v>11663</v>
      </c>
      <c r="D94" s="711">
        <v>7464</v>
      </c>
      <c r="E94" s="711">
        <v>7068</v>
      </c>
      <c r="F94" s="711">
        <v>10400</v>
      </c>
      <c r="G94" s="711">
        <v>13275</v>
      </c>
      <c r="H94" s="711">
        <v>13641</v>
      </c>
    </row>
    <row r="95" spans="2:8">
      <c r="B95" s="468" t="s">
        <v>1517</v>
      </c>
      <c r="C95" s="713">
        <v>4557</v>
      </c>
      <c r="D95" s="713">
        <v>4202</v>
      </c>
      <c r="E95" s="713">
        <v>4267</v>
      </c>
      <c r="F95" s="713">
        <v>3973</v>
      </c>
      <c r="G95" s="713">
        <v>4845</v>
      </c>
      <c r="H95" s="713">
        <v>4983</v>
      </c>
    </row>
    <row r="96" spans="2:8">
      <c r="B96" s="469" t="s">
        <v>1511</v>
      </c>
      <c r="C96" s="711">
        <v>2253</v>
      </c>
      <c r="D96" s="711">
        <v>2194</v>
      </c>
      <c r="E96" s="711">
        <v>2206</v>
      </c>
      <c r="F96" s="711">
        <v>2088</v>
      </c>
      <c r="G96" s="711">
        <v>2536</v>
      </c>
      <c r="H96" s="711">
        <v>2591</v>
      </c>
    </row>
    <row r="97" spans="2:8">
      <c r="B97" s="469" t="s">
        <v>1512</v>
      </c>
      <c r="C97" s="711">
        <v>2304</v>
      </c>
      <c r="D97" s="711">
        <v>2008</v>
      </c>
      <c r="E97" s="711">
        <v>2061</v>
      </c>
      <c r="F97" s="711">
        <v>1885</v>
      </c>
      <c r="G97" s="711">
        <v>2309</v>
      </c>
      <c r="H97" s="711">
        <v>2392</v>
      </c>
    </row>
    <row r="98" spans="2:8">
      <c r="B98" s="468" t="s">
        <v>1518</v>
      </c>
      <c r="C98" s="715">
        <v>717</v>
      </c>
      <c r="D98" s="715">
        <v>483</v>
      </c>
      <c r="E98" s="715">
        <v>366</v>
      </c>
      <c r="F98" s="715">
        <v>478</v>
      </c>
      <c r="G98" s="715">
        <v>610</v>
      </c>
      <c r="H98" s="715">
        <v>620</v>
      </c>
    </row>
    <row r="99" spans="2:8">
      <c r="B99" s="469" t="s">
        <v>1511</v>
      </c>
      <c r="C99" s="712">
        <v>318</v>
      </c>
      <c r="D99" s="712">
        <v>251</v>
      </c>
      <c r="E99" s="712">
        <v>212</v>
      </c>
      <c r="F99" s="712">
        <v>281</v>
      </c>
      <c r="G99" s="712">
        <v>350</v>
      </c>
      <c r="H99" s="712">
        <v>360</v>
      </c>
    </row>
    <row r="100" spans="2:8">
      <c r="B100" s="469" t="s">
        <v>1512</v>
      </c>
      <c r="C100" s="712">
        <v>399</v>
      </c>
      <c r="D100" s="712">
        <v>232</v>
      </c>
      <c r="E100" s="712">
        <v>154</v>
      </c>
      <c r="F100" s="712">
        <v>197</v>
      </c>
      <c r="G100" s="712">
        <v>260</v>
      </c>
      <c r="H100" s="712">
        <v>260</v>
      </c>
    </row>
    <row r="101" spans="2:8">
      <c r="B101" s="468" t="s">
        <v>1519</v>
      </c>
      <c r="C101" s="715">
        <v>154</v>
      </c>
      <c r="D101" s="715">
        <v>173</v>
      </c>
      <c r="E101" s="715">
        <v>109</v>
      </c>
      <c r="F101" s="715">
        <v>119</v>
      </c>
      <c r="G101" s="715">
        <v>234</v>
      </c>
      <c r="H101" s="715">
        <v>224</v>
      </c>
    </row>
    <row r="102" spans="2:8">
      <c r="B102" s="469" t="s">
        <v>1511</v>
      </c>
      <c r="C102" s="712">
        <v>90</v>
      </c>
      <c r="D102" s="712">
        <v>98</v>
      </c>
      <c r="E102" s="712">
        <v>68</v>
      </c>
      <c r="F102" s="712">
        <v>80</v>
      </c>
      <c r="G102" s="712">
        <v>146</v>
      </c>
      <c r="H102" s="712">
        <v>140</v>
      </c>
    </row>
    <row r="103" spans="2:8">
      <c r="B103" s="469" t="s">
        <v>1512</v>
      </c>
      <c r="C103" s="712">
        <v>64</v>
      </c>
      <c r="D103" s="712">
        <v>75</v>
      </c>
      <c r="E103" s="712">
        <v>41</v>
      </c>
      <c r="F103" s="712">
        <v>39</v>
      </c>
      <c r="G103" s="712">
        <v>88</v>
      </c>
      <c r="H103" s="712">
        <v>84</v>
      </c>
    </row>
    <row r="104" spans="2:8">
      <c r="B104" s="468" t="s">
        <v>1520</v>
      </c>
      <c r="C104" s="715" t="s">
        <v>1672</v>
      </c>
      <c r="D104" s="715" t="s">
        <v>1672</v>
      </c>
      <c r="E104" s="715">
        <v>747</v>
      </c>
      <c r="F104" s="715">
        <v>512</v>
      </c>
      <c r="G104" s="715">
        <v>343</v>
      </c>
      <c r="H104" s="715">
        <v>271</v>
      </c>
    </row>
    <row r="105" spans="2:8">
      <c r="B105" s="469" t="s">
        <v>1511</v>
      </c>
      <c r="C105" s="712" t="s">
        <v>1672</v>
      </c>
      <c r="D105" s="712" t="s">
        <v>1672</v>
      </c>
      <c r="E105" s="712">
        <v>264</v>
      </c>
      <c r="F105" s="712">
        <v>205</v>
      </c>
      <c r="G105" s="712">
        <v>102</v>
      </c>
      <c r="H105" s="712">
        <v>98</v>
      </c>
    </row>
    <row r="106" spans="2:8">
      <c r="B106" s="471" t="s">
        <v>1512</v>
      </c>
      <c r="C106" s="712" t="s">
        <v>1672</v>
      </c>
      <c r="D106" s="712" t="s">
        <v>1672</v>
      </c>
      <c r="E106" s="712">
        <v>483</v>
      </c>
      <c r="F106" s="712">
        <v>307</v>
      </c>
      <c r="G106" s="712">
        <v>241</v>
      </c>
      <c r="H106" s="712">
        <v>173</v>
      </c>
    </row>
    <row r="107" spans="2:8">
      <c r="B107" s="11" t="s">
        <v>1277</v>
      </c>
    </row>
    <row r="108" spans="2:8">
      <c r="B108" s="11"/>
    </row>
    <row r="109" spans="2:8" ht="15.5">
      <c r="B109" s="4" t="s">
        <v>1664</v>
      </c>
    </row>
    <row r="110" spans="2:8">
      <c r="B110" s="463" t="s">
        <v>1521</v>
      </c>
      <c r="C110" s="718" t="s">
        <v>625</v>
      </c>
      <c r="D110" s="719" t="s">
        <v>626</v>
      </c>
      <c r="E110" s="719" t="s">
        <v>415</v>
      </c>
    </row>
    <row r="111" spans="2:8">
      <c r="B111" s="466" t="s">
        <v>1522</v>
      </c>
      <c r="C111" s="721">
        <v>7180</v>
      </c>
      <c r="D111" s="721">
        <v>5535</v>
      </c>
      <c r="E111" s="721">
        <v>12715</v>
      </c>
      <c r="F111">
        <f>D111+D112</f>
        <v>9053</v>
      </c>
    </row>
    <row r="112" spans="2:8">
      <c r="B112" s="466" t="s">
        <v>1523</v>
      </c>
      <c r="C112" s="721">
        <v>4338</v>
      </c>
      <c r="D112" s="721">
        <v>3518</v>
      </c>
      <c r="E112" s="721">
        <v>7856</v>
      </c>
    </row>
    <row r="113" spans="2:8">
      <c r="B113" s="466" t="s">
        <v>1524</v>
      </c>
      <c r="C113" s="721">
        <v>2916</v>
      </c>
      <c r="D113" s="721">
        <v>2490</v>
      </c>
      <c r="E113" s="721">
        <v>5406</v>
      </c>
    </row>
    <row r="114" spans="2:8">
      <c r="B114" s="466" t="s">
        <v>1525</v>
      </c>
      <c r="C114" s="721">
        <v>1421</v>
      </c>
      <c r="D114" s="721">
        <v>1258</v>
      </c>
      <c r="E114" s="721">
        <v>2679</v>
      </c>
    </row>
    <row r="115" spans="2:8">
      <c r="B115" s="466" t="s">
        <v>1526</v>
      </c>
      <c r="C115" s="721">
        <v>1454</v>
      </c>
      <c r="D115" s="721">
        <v>1180</v>
      </c>
      <c r="E115" s="721">
        <v>2634</v>
      </c>
    </row>
    <row r="116" spans="2:8">
      <c r="B116" s="466" t="s">
        <v>1527</v>
      </c>
      <c r="C116" s="721">
        <v>3004</v>
      </c>
      <c r="D116" s="721">
        <v>2118</v>
      </c>
      <c r="E116" s="721">
        <v>5122</v>
      </c>
    </row>
    <row r="117" spans="2:8">
      <c r="B117" s="466" t="s">
        <v>1528</v>
      </c>
      <c r="C117" s="721">
        <v>2106</v>
      </c>
      <c r="D117" s="721">
        <v>1700</v>
      </c>
      <c r="E117" s="721">
        <v>3806</v>
      </c>
    </row>
    <row r="118" spans="2:8">
      <c r="B118" s="466" t="s">
        <v>1529</v>
      </c>
      <c r="C118" s="722">
        <v>69</v>
      </c>
      <c r="D118" s="722">
        <v>37</v>
      </c>
      <c r="E118" s="722">
        <v>106</v>
      </c>
    </row>
    <row r="119" spans="2:8">
      <c r="B119" s="466" t="s">
        <v>1530</v>
      </c>
      <c r="C119" s="722">
        <v>0</v>
      </c>
      <c r="D119" s="722">
        <v>0</v>
      </c>
      <c r="E119" s="722">
        <v>0</v>
      </c>
    </row>
    <row r="120" spans="2:8">
      <c r="B120" s="466" t="s">
        <v>1532</v>
      </c>
      <c r="C120" s="722">
        <v>9</v>
      </c>
      <c r="D120" s="722">
        <v>9</v>
      </c>
      <c r="E120" s="722">
        <v>18</v>
      </c>
    </row>
    <row r="121" spans="2:8">
      <c r="B121" s="467" t="s">
        <v>1533</v>
      </c>
      <c r="C121" s="723">
        <v>22497</v>
      </c>
      <c r="D121" s="723">
        <v>17845</v>
      </c>
      <c r="E121" s="723">
        <v>40342</v>
      </c>
    </row>
    <row r="122" spans="2:8" ht="15.5">
      <c r="B122" s="7"/>
    </row>
    <row r="123" spans="2:8" ht="15.5">
      <c r="B123" s="7" t="s">
        <v>314</v>
      </c>
    </row>
    <row r="124" spans="2:8" ht="15.5">
      <c r="B124" s="25" t="s">
        <v>1665</v>
      </c>
    </row>
    <row r="125" spans="2:8" ht="15.65" customHeight="1">
      <c r="B125" s="876" t="s">
        <v>1535</v>
      </c>
      <c r="C125" s="878" t="s">
        <v>1536</v>
      </c>
      <c r="D125" s="879"/>
      <c r="E125" s="886"/>
      <c r="F125" s="878" t="s">
        <v>1537</v>
      </c>
      <c r="G125" s="879"/>
      <c r="H125" s="880"/>
    </row>
    <row r="126" spans="2:8" ht="17.25" customHeight="1">
      <c r="B126" s="877"/>
      <c r="C126" s="353" t="s">
        <v>1538</v>
      </c>
      <c r="D126" s="353" t="s">
        <v>1539</v>
      </c>
      <c r="E126" s="353" t="s">
        <v>1540</v>
      </c>
      <c r="F126" s="457" t="s">
        <v>795</v>
      </c>
      <c r="G126" s="457" t="s">
        <v>796</v>
      </c>
      <c r="H126" s="458" t="s">
        <v>759</v>
      </c>
    </row>
    <row r="127" spans="2:8">
      <c r="B127" s="355" t="s">
        <v>1522</v>
      </c>
      <c r="C127" s="720">
        <v>509</v>
      </c>
      <c r="D127" s="720">
        <v>388</v>
      </c>
      <c r="E127" s="715">
        <v>897</v>
      </c>
      <c r="F127" s="724">
        <v>5197</v>
      </c>
      <c r="G127" s="724">
        <v>3865</v>
      </c>
      <c r="H127" s="725">
        <v>9062</v>
      </c>
    </row>
    <row r="128" spans="2:8">
      <c r="B128" s="355" t="s">
        <v>1523</v>
      </c>
      <c r="C128" s="720">
        <v>202</v>
      </c>
      <c r="D128" s="720">
        <v>203</v>
      </c>
      <c r="E128" s="715">
        <v>405</v>
      </c>
      <c r="F128" s="726">
        <v>3863</v>
      </c>
      <c r="G128" s="726">
        <v>3058</v>
      </c>
      <c r="H128" s="713">
        <v>6921</v>
      </c>
    </row>
    <row r="129" spans="2:8">
      <c r="B129" s="355" t="s">
        <v>1524</v>
      </c>
      <c r="C129" s="720">
        <v>216</v>
      </c>
      <c r="D129" s="720">
        <v>111</v>
      </c>
      <c r="E129" s="715">
        <v>327</v>
      </c>
      <c r="F129" s="726">
        <v>2130</v>
      </c>
      <c r="G129" s="726">
        <v>1751</v>
      </c>
      <c r="H129" s="713">
        <v>3881</v>
      </c>
    </row>
    <row r="130" spans="2:8">
      <c r="B130" s="355" t="s">
        <v>1525</v>
      </c>
      <c r="C130" s="720">
        <v>108</v>
      </c>
      <c r="D130" s="720">
        <v>67</v>
      </c>
      <c r="E130" s="715">
        <v>175</v>
      </c>
      <c r="F130" s="726">
        <v>1069</v>
      </c>
      <c r="G130" s="720">
        <v>965</v>
      </c>
      <c r="H130" s="713">
        <v>2034</v>
      </c>
    </row>
    <row r="131" spans="2:8">
      <c r="B131" s="355" t="s">
        <v>1526</v>
      </c>
      <c r="C131" s="720">
        <v>57</v>
      </c>
      <c r="D131" s="720">
        <v>54</v>
      </c>
      <c r="E131" s="715">
        <v>111</v>
      </c>
      <c r="F131" s="726">
        <v>1284</v>
      </c>
      <c r="G131" s="726">
        <v>1037</v>
      </c>
      <c r="H131" s="713">
        <v>2321</v>
      </c>
    </row>
    <row r="132" spans="2:8">
      <c r="B132" s="355" t="s">
        <v>1527</v>
      </c>
      <c r="C132" s="720">
        <v>451</v>
      </c>
      <c r="D132" s="720">
        <v>281</v>
      </c>
      <c r="E132" s="715">
        <v>732</v>
      </c>
      <c r="F132" s="726">
        <v>2274</v>
      </c>
      <c r="G132" s="726">
        <v>1621</v>
      </c>
      <c r="H132" s="713">
        <v>3895</v>
      </c>
    </row>
    <row r="133" spans="2:8">
      <c r="B133" s="355" t="s">
        <v>1528</v>
      </c>
      <c r="C133" s="720">
        <v>181</v>
      </c>
      <c r="D133" s="720">
        <v>151</v>
      </c>
      <c r="E133" s="715">
        <v>332</v>
      </c>
      <c r="F133" s="726">
        <v>1699</v>
      </c>
      <c r="G133" s="726">
        <v>1343</v>
      </c>
      <c r="H133" s="713">
        <v>3042</v>
      </c>
    </row>
    <row r="134" spans="2:8">
      <c r="B134" s="355" t="s">
        <v>1529</v>
      </c>
      <c r="C134" s="720">
        <v>63</v>
      </c>
      <c r="D134" s="720">
        <v>36</v>
      </c>
      <c r="E134" s="715">
        <v>99</v>
      </c>
      <c r="F134" s="720">
        <v>0</v>
      </c>
      <c r="G134" s="720">
        <v>0</v>
      </c>
      <c r="H134" s="715">
        <v>0</v>
      </c>
    </row>
    <row r="135" spans="2:8">
      <c r="B135" s="355" t="s">
        <v>1530</v>
      </c>
      <c r="C135" s="720">
        <v>0</v>
      </c>
      <c r="D135" s="720">
        <v>0</v>
      </c>
      <c r="E135" s="715">
        <v>0</v>
      </c>
      <c r="F135" s="720">
        <v>0</v>
      </c>
      <c r="G135" s="720">
        <v>0</v>
      </c>
      <c r="H135" s="715">
        <v>0</v>
      </c>
    </row>
    <row r="136" spans="2:8">
      <c r="B136" s="355" t="s">
        <v>1532</v>
      </c>
      <c r="C136" s="720">
        <v>0</v>
      </c>
      <c r="D136" s="720">
        <v>0</v>
      </c>
      <c r="E136" s="715">
        <v>0</v>
      </c>
      <c r="F136" s="720">
        <v>2</v>
      </c>
      <c r="G136" s="720">
        <v>1</v>
      </c>
      <c r="H136" s="715">
        <v>3</v>
      </c>
    </row>
    <row r="137" spans="2:8">
      <c r="B137" s="355" t="s">
        <v>1542</v>
      </c>
      <c r="C137" s="720">
        <v>3</v>
      </c>
      <c r="D137" s="720">
        <v>4</v>
      </c>
      <c r="E137" s="715">
        <v>7</v>
      </c>
      <c r="F137" s="720">
        <v>0</v>
      </c>
      <c r="G137" s="720">
        <v>0</v>
      </c>
      <c r="H137" s="715">
        <v>0</v>
      </c>
    </row>
    <row r="138" spans="2:8">
      <c r="B138" s="356" t="s">
        <v>1540</v>
      </c>
      <c r="C138" s="713">
        <v>1790</v>
      </c>
      <c r="D138" s="713">
        <v>1295</v>
      </c>
      <c r="E138" s="713">
        <v>3085</v>
      </c>
      <c r="F138" s="713">
        <v>17518</v>
      </c>
      <c r="G138" s="713">
        <v>13641</v>
      </c>
      <c r="H138" s="713">
        <v>31159</v>
      </c>
    </row>
    <row r="139" spans="2:8" s="462" customFormat="1">
      <c r="B139" s="460"/>
      <c r="C139" s="461"/>
      <c r="D139" s="461"/>
      <c r="E139" s="461"/>
      <c r="F139" s="461"/>
      <c r="G139" s="461"/>
      <c r="H139" s="461"/>
    </row>
    <row r="140" spans="2:8" s="462" customFormat="1">
      <c r="B140" s="460"/>
      <c r="C140"/>
      <c r="D140"/>
      <c r="E140"/>
      <c r="F140" s="461"/>
      <c r="G140" s="461"/>
      <c r="H140" s="461"/>
    </row>
    <row r="141" spans="2:8" ht="15.5">
      <c r="B141" s="335" t="s">
        <v>1666</v>
      </c>
    </row>
    <row r="142" spans="2:8" ht="17.25" customHeight="1">
      <c r="B142" s="881" t="s">
        <v>1543</v>
      </c>
      <c r="C142" s="883" t="s">
        <v>1544</v>
      </c>
      <c r="D142" s="884"/>
      <c r="E142" s="887"/>
      <c r="F142" s="883" t="s">
        <v>1545</v>
      </c>
      <c r="G142" s="884"/>
      <c r="H142" s="885"/>
    </row>
    <row r="143" spans="2:8" ht="17.25" customHeight="1">
      <c r="B143" s="882"/>
      <c r="C143" s="727" t="s">
        <v>795</v>
      </c>
      <c r="D143" s="727" t="s">
        <v>796</v>
      </c>
      <c r="E143" s="727" t="s">
        <v>759</v>
      </c>
      <c r="F143" s="728" t="s">
        <v>1546</v>
      </c>
      <c r="G143" s="728" t="s">
        <v>1547</v>
      </c>
      <c r="H143" s="729" t="s">
        <v>1548</v>
      </c>
    </row>
    <row r="144" spans="2:8" ht="14.15" customHeight="1">
      <c r="B144" s="357" t="s">
        <v>1522</v>
      </c>
      <c r="C144" s="724">
        <v>1145</v>
      </c>
      <c r="D144" s="724">
        <v>1011</v>
      </c>
      <c r="E144" s="725">
        <v>2156</v>
      </c>
      <c r="F144" s="730">
        <v>175</v>
      </c>
      <c r="G144" s="730">
        <v>98</v>
      </c>
      <c r="H144" s="731">
        <v>273</v>
      </c>
    </row>
    <row r="145" spans="2:8" ht="14.15" customHeight="1">
      <c r="B145" s="357" t="s">
        <v>1549</v>
      </c>
      <c r="C145" s="720">
        <v>256</v>
      </c>
      <c r="D145" s="720">
        <v>240</v>
      </c>
      <c r="E145" s="715">
        <v>496</v>
      </c>
      <c r="F145" s="730">
        <v>17</v>
      </c>
      <c r="G145" s="730">
        <v>17</v>
      </c>
      <c r="H145" s="731">
        <v>34</v>
      </c>
    </row>
    <row r="146" spans="2:8" ht="14.15" customHeight="1">
      <c r="B146" s="357" t="s">
        <v>1524</v>
      </c>
      <c r="C146" s="720">
        <v>492</v>
      </c>
      <c r="D146" s="720">
        <v>553</v>
      </c>
      <c r="E146" s="713">
        <v>1045</v>
      </c>
      <c r="F146" s="730">
        <v>36</v>
      </c>
      <c r="G146" s="730">
        <v>36</v>
      </c>
      <c r="H146" s="731">
        <v>72</v>
      </c>
    </row>
    <row r="147" spans="2:8" ht="14.15" customHeight="1">
      <c r="B147" s="357" t="s">
        <v>1525</v>
      </c>
      <c r="C147" s="720">
        <v>186</v>
      </c>
      <c r="D147" s="720">
        <v>169</v>
      </c>
      <c r="E147" s="715">
        <v>355</v>
      </c>
      <c r="F147" s="730">
        <v>48</v>
      </c>
      <c r="G147" s="730">
        <v>39</v>
      </c>
      <c r="H147" s="731">
        <v>87</v>
      </c>
    </row>
    <row r="148" spans="2:8" ht="14.15" customHeight="1">
      <c r="B148" s="357" t="s">
        <v>1526</v>
      </c>
      <c r="C148" s="720">
        <v>112</v>
      </c>
      <c r="D148" s="720">
        <v>84</v>
      </c>
      <c r="E148" s="715">
        <v>196</v>
      </c>
      <c r="F148" s="730">
        <v>1</v>
      </c>
      <c r="G148" s="730">
        <v>5</v>
      </c>
      <c r="H148" s="731">
        <v>6</v>
      </c>
    </row>
    <row r="149" spans="2:8" ht="14.15" customHeight="1">
      <c r="B149" s="357" t="s">
        <v>1550</v>
      </c>
      <c r="C149" s="720">
        <v>238</v>
      </c>
      <c r="D149" s="720">
        <v>177</v>
      </c>
      <c r="E149" s="715">
        <v>415</v>
      </c>
      <c r="F149" s="730">
        <v>31</v>
      </c>
      <c r="G149" s="730">
        <v>30</v>
      </c>
      <c r="H149" s="731">
        <v>61</v>
      </c>
    </row>
    <row r="150" spans="2:8" ht="14.15" customHeight="1">
      <c r="B150" s="357" t="s">
        <v>1528</v>
      </c>
      <c r="C150" s="720">
        <v>159</v>
      </c>
      <c r="D150" s="720">
        <v>154</v>
      </c>
      <c r="E150" s="715">
        <v>313</v>
      </c>
      <c r="F150" s="730">
        <v>50</v>
      </c>
      <c r="G150" s="730">
        <v>35</v>
      </c>
      <c r="H150" s="731">
        <v>85</v>
      </c>
    </row>
    <row r="151" spans="2:8" ht="14.15" customHeight="1">
      <c r="B151" s="357" t="s">
        <v>1529</v>
      </c>
      <c r="C151" s="720">
        <v>0</v>
      </c>
      <c r="D151" s="720">
        <v>0</v>
      </c>
      <c r="E151" s="715">
        <v>0</v>
      </c>
      <c r="F151" s="730">
        <v>2</v>
      </c>
      <c r="G151" s="730">
        <v>0</v>
      </c>
      <c r="H151" s="731">
        <v>2</v>
      </c>
    </row>
    <row r="152" spans="2:8" ht="14.15" customHeight="1">
      <c r="B152" s="357" t="s">
        <v>1530</v>
      </c>
      <c r="C152" s="720">
        <v>0</v>
      </c>
      <c r="D152" s="720">
        <v>0</v>
      </c>
      <c r="E152" s="715">
        <v>0</v>
      </c>
      <c r="F152" s="730">
        <v>0</v>
      </c>
      <c r="G152" s="730">
        <v>0</v>
      </c>
      <c r="H152" s="731">
        <v>0</v>
      </c>
    </row>
    <row r="153" spans="2:8" ht="14.15" customHeight="1">
      <c r="B153" s="357" t="s">
        <v>1532</v>
      </c>
      <c r="C153" s="720">
        <v>3</v>
      </c>
      <c r="D153" s="720">
        <v>4</v>
      </c>
      <c r="E153" s="715">
        <v>7</v>
      </c>
      <c r="F153" s="730">
        <v>0</v>
      </c>
      <c r="G153" s="730">
        <v>0</v>
      </c>
      <c r="H153" s="731">
        <v>0</v>
      </c>
    </row>
    <row r="154" spans="2:8" ht="14.15" customHeight="1">
      <c r="B154" s="357" t="s">
        <v>1542</v>
      </c>
      <c r="C154" s="720">
        <v>0</v>
      </c>
      <c r="D154" s="720">
        <v>0</v>
      </c>
      <c r="E154" s="715">
        <v>0</v>
      </c>
      <c r="F154" s="730">
        <v>0</v>
      </c>
      <c r="G154" s="730">
        <v>0</v>
      </c>
      <c r="H154" s="731">
        <v>0</v>
      </c>
    </row>
    <row r="155" spans="2:8" ht="14.15" customHeight="1">
      <c r="B155" s="359" t="s">
        <v>1548</v>
      </c>
      <c r="C155" s="713">
        <v>2591</v>
      </c>
      <c r="D155" s="713">
        <v>2392</v>
      </c>
      <c r="E155" s="713">
        <v>4983</v>
      </c>
      <c r="F155" s="731">
        <v>360</v>
      </c>
      <c r="G155" s="731">
        <v>260</v>
      </c>
      <c r="H155" s="731">
        <v>620</v>
      </c>
    </row>
    <row r="156" spans="2:8">
      <c r="B156" s="50" t="s">
        <v>431</v>
      </c>
      <c r="C156" s="19"/>
      <c r="D156" s="19"/>
      <c r="E156" s="19"/>
    </row>
    <row r="157" spans="2:8">
      <c r="B157" s="12"/>
      <c r="F157" s="19"/>
    </row>
    <row r="158" spans="2:8" ht="16" customHeight="1">
      <c r="B158" s="335" t="s">
        <v>1656</v>
      </c>
    </row>
    <row r="159" spans="2:8" ht="15.75" customHeight="1">
      <c r="B159" s="876" t="s">
        <v>1535</v>
      </c>
      <c r="C159" s="878" t="s">
        <v>1551</v>
      </c>
      <c r="D159" s="879"/>
      <c r="E159" s="886"/>
      <c r="F159" s="878" t="s">
        <v>1552</v>
      </c>
      <c r="G159" s="879"/>
      <c r="H159" s="880"/>
    </row>
    <row r="160" spans="2:8" ht="15.75" customHeight="1">
      <c r="B160" s="877"/>
      <c r="C160" s="457" t="s">
        <v>795</v>
      </c>
      <c r="D160" s="457" t="s">
        <v>796</v>
      </c>
      <c r="E160" s="457" t="s">
        <v>759</v>
      </c>
      <c r="F160" s="353" t="s">
        <v>1538</v>
      </c>
      <c r="G160" s="353" t="s">
        <v>1539</v>
      </c>
      <c r="H160" s="354" t="s">
        <v>1540</v>
      </c>
    </row>
    <row r="161" spans="2:8">
      <c r="B161" s="355" t="s">
        <v>1522</v>
      </c>
      <c r="C161" s="730">
        <v>89</v>
      </c>
      <c r="D161" s="730">
        <v>56</v>
      </c>
      <c r="E161" s="731">
        <v>145</v>
      </c>
      <c r="F161" s="459">
        <v>65</v>
      </c>
      <c r="G161" s="459">
        <v>117</v>
      </c>
      <c r="H161" s="733">
        <v>182</v>
      </c>
    </row>
    <row r="162" spans="2:8">
      <c r="B162" s="355" t="s">
        <v>1523</v>
      </c>
      <c r="C162" s="730">
        <v>0</v>
      </c>
      <c r="D162" s="730">
        <v>0</v>
      </c>
      <c r="E162" s="731">
        <v>0</v>
      </c>
      <c r="F162" s="459" t="s">
        <v>1531</v>
      </c>
      <c r="G162" s="459" t="s">
        <v>1531</v>
      </c>
      <c r="H162" s="733" t="s">
        <v>1541</v>
      </c>
    </row>
    <row r="163" spans="2:8">
      <c r="B163" s="355" t="s">
        <v>1524</v>
      </c>
      <c r="C163" s="730">
        <v>33</v>
      </c>
      <c r="D163" s="730">
        <v>18</v>
      </c>
      <c r="E163" s="731">
        <v>51</v>
      </c>
      <c r="F163" s="459">
        <v>9</v>
      </c>
      <c r="G163" s="459">
        <v>21</v>
      </c>
      <c r="H163" s="733">
        <v>30</v>
      </c>
    </row>
    <row r="164" spans="2:8">
      <c r="B164" s="355" t="s">
        <v>1525</v>
      </c>
      <c r="C164" s="730">
        <v>2</v>
      </c>
      <c r="D164" s="730">
        <v>3</v>
      </c>
      <c r="E164" s="731">
        <v>5</v>
      </c>
      <c r="F164" s="459">
        <v>8</v>
      </c>
      <c r="G164" s="459">
        <v>15</v>
      </c>
      <c r="H164" s="733">
        <v>23</v>
      </c>
    </row>
    <row r="165" spans="2:8">
      <c r="B165" s="355" t="s">
        <v>1526</v>
      </c>
      <c r="C165" s="730">
        <v>0</v>
      </c>
      <c r="D165" s="730">
        <v>0</v>
      </c>
      <c r="E165" s="731">
        <v>0</v>
      </c>
      <c r="F165" s="459" t="s">
        <v>1531</v>
      </c>
      <c r="G165" s="459" t="s">
        <v>1531</v>
      </c>
      <c r="H165" s="733" t="s">
        <v>1541</v>
      </c>
    </row>
    <row r="166" spans="2:8">
      <c r="B166" s="355" t="s">
        <v>1527</v>
      </c>
      <c r="C166" s="730">
        <v>1</v>
      </c>
      <c r="D166" s="730">
        <v>1</v>
      </c>
      <c r="E166" s="731">
        <v>2</v>
      </c>
      <c r="F166" s="459">
        <v>9</v>
      </c>
      <c r="G166" s="459">
        <v>8</v>
      </c>
      <c r="H166" s="733">
        <v>17</v>
      </c>
    </row>
    <row r="167" spans="2:8">
      <c r="B167" s="355" t="s">
        <v>1528</v>
      </c>
      <c r="C167" s="730">
        <v>10</v>
      </c>
      <c r="D167" s="730">
        <v>5</v>
      </c>
      <c r="E167" s="731">
        <v>15</v>
      </c>
      <c r="F167" s="459">
        <v>7</v>
      </c>
      <c r="G167" s="459">
        <v>12</v>
      </c>
      <c r="H167" s="733">
        <v>19</v>
      </c>
    </row>
    <row r="168" spans="2:8">
      <c r="B168" s="355" t="s">
        <v>1529</v>
      </c>
      <c r="C168" s="730">
        <v>0</v>
      </c>
      <c r="D168" s="730">
        <v>0</v>
      </c>
      <c r="E168" s="731">
        <v>0</v>
      </c>
      <c r="F168" s="459" t="s">
        <v>1531</v>
      </c>
      <c r="G168" s="459" t="s">
        <v>1531</v>
      </c>
      <c r="H168" s="733" t="s">
        <v>1541</v>
      </c>
    </row>
    <row r="169" spans="2:8">
      <c r="B169" s="355" t="s">
        <v>1530</v>
      </c>
      <c r="C169" s="730">
        <v>0</v>
      </c>
      <c r="D169" s="730">
        <v>0</v>
      </c>
      <c r="E169" s="731">
        <v>0</v>
      </c>
      <c r="F169" s="459" t="s">
        <v>1531</v>
      </c>
      <c r="G169" s="459" t="s">
        <v>1531</v>
      </c>
      <c r="H169" s="733" t="s">
        <v>1541</v>
      </c>
    </row>
    <row r="170" spans="2:8">
      <c r="B170" s="355" t="s">
        <v>1532</v>
      </c>
      <c r="C170" s="730">
        <v>5</v>
      </c>
      <c r="D170" s="730">
        <v>1</v>
      </c>
      <c r="E170" s="731">
        <v>6</v>
      </c>
      <c r="F170" s="459" t="s">
        <v>1531</v>
      </c>
      <c r="G170" s="459" t="s">
        <v>1531</v>
      </c>
      <c r="H170" s="733" t="s">
        <v>1541</v>
      </c>
    </row>
    <row r="171" spans="2:8">
      <c r="B171" s="734" t="s">
        <v>1553</v>
      </c>
      <c r="C171" s="730">
        <v>0</v>
      </c>
      <c r="D171" s="730">
        <v>0</v>
      </c>
      <c r="E171" s="731">
        <v>0</v>
      </c>
      <c r="F171" s="732" t="s">
        <v>1541</v>
      </c>
      <c r="G171" s="732" t="s">
        <v>1541</v>
      </c>
      <c r="H171" s="733" t="s">
        <v>1541</v>
      </c>
    </row>
    <row r="172" spans="2:8">
      <c r="B172" s="806" t="s">
        <v>968</v>
      </c>
      <c r="C172" s="731">
        <v>140</v>
      </c>
      <c r="D172" s="731">
        <v>84</v>
      </c>
      <c r="E172" s="731">
        <v>224</v>
      </c>
      <c r="F172" s="807">
        <v>98</v>
      </c>
      <c r="G172" s="807">
        <v>173</v>
      </c>
      <c r="H172" s="808">
        <v>271</v>
      </c>
    </row>
    <row r="173" spans="2:8">
      <c r="B173" s="50" t="s">
        <v>431</v>
      </c>
      <c r="C173" s="19"/>
      <c r="D173" s="19"/>
      <c r="E173" s="19"/>
    </row>
    <row r="174" spans="2:8" ht="15.5">
      <c r="B174" s="9" t="s">
        <v>314</v>
      </c>
      <c r="C174" s="20"/>
      <c r="D174" s="19"/>
      <c r="E174" s="19"/>
      <c r="F174" s="19"/>
    </row>
    <row r="175" spans="2:8" ht="15.5">
      <c r="B175" s="18" t="s">
        <v>221</v>
      </c>
      <c r="C175" s="20"/>
      <c r="D175" s="19"/>
      <c r="E175" s="19"/>
      <c r="F175" s="19"/>
    </row>
    <row r="176" spans="2:8" ht="15.5">
      <c r="B176" s="18"/>
      <c r="C176" s="19"/>
      <c r="D176" s="19"/>
      <c r="E176" s="19"/>
      <c r="F176" s="19"/>
    </row>
    <row r="177" spans="2:7" ht="15.5">
      <c r="B177" s="88" t="s">
        <v>1554</v>
      </c>
      <c r="C177" s="19"/>
      <c r="D177" s="19"/>
      <c r="E177" s="19"/>
      <c r="F177" s="19"/>
    </row>
    <row r="178" spans="2:7" ht="15.5">
      <c r="B178" s="95" t="s">
        <v>376</v>
      </c>
      <c r="C178" s="547">
        <v>2018</v>
      </c>
      <c r="D178" s="547">
        <v>2019</v>
      </c>
      <c r="E178" s="547" t="s">
        <v>335</v>
      </c>
      <c r="F178" s="71" t="s">
        <v>256</v>
      </c>
      <c r="G178" s="71" t="s">
        <v>257</v>
      </c>
    </row>
    <row r="179" spans="2:7" ht="15.5">
      <c r="B179" s="96" t="s">
        <v>1555</v>
      </c>
      <c r="C179" s="524">
        <v>39579</v>
      </c>
      <c r="D179" s="524">
        <v>40151</v>
      </c>
      <c r="E179" s="524">
        <v>41684</v>
      </c>
      <c r="F179" s="97">
        <v>39329</v>
      </c>
      <c r="G179" s="524">
        <v>39728</v>
      </c>
    </row>
    <row r="180" spans="2:7" ht="15.5">
      <c r="B180" s="207" t="s">
        <v>998</v>
      </c>
      <c r="C180" s="128">
        <v>20628</v>
      </c>
      <c r="D180" s="128">
        <v>20579</v>
      </c>
      <c r="E180" s="128">
        <v>20932</v>
      </c>
      <c r="F180" s="128">
        <v>20297</v>
      </c>
      <c r="G180" s="128">
        <v>20417</v>
      </c>
    </row>
    <row r="181" spans="2:7" ht="15.5">
      <c r="B181" s="207" t="s">
        <v>999</v>
      </c>
      <c r="C181" s="128">
        <v>18951</v>
      </c>
      <c r="D181" s="128">
        <v>19572</v>
      </c>
      <c r="E181" s="128">
        <v>20752</v>
      </c>
      <c r="F181" s="128">
        <v>19032</v>
      </c>
      <c r="G181" s="128">
        <v>19311</v>
      </c>
    </row>
    <row r="182" spans="2:7" ht="15.5">
      <c r="B182" s="235" t="s">
        <v>627</v>
      </c>
      <c r="C182" s="118">
        <v>0.52100000000000002</v>
      </c>
      <c r="D182" s="118">
        <v>0.51300000000000001</v>
      </c>
      <c r="E182" s="118">
        <v>0.502</v>
      </c>
      <c r="F182" s="118">
        <v>0.51600000000000001</v>
      </c>
      <c r="G182" s="118">
        <v>0.51400000000000001</v>
      </c>
    </row>
    <row r="183" spans="2:7" ht="15.5">
      <c r="B183" s="235" t="s">
        <v>628</v>
      </c>
      <c r="C183" s="118">
        <v>0.47899999999999998</v>
      </c>
      <c r="D183" s="118">
        <v>0.48699999999999999</v>
      </c>
      <c r="E183" s="118">
        <v>0.498</v>
      </c>
      <c r="F183" s="118">
        <v>0.48399999999999999</v>
      </c>
      <c r="G183" s="118">
        <v>0.48599999999999999</v>
      </c>
    </row>
    <row r="184" spans="2:7" ht="15.5">
      <c r="B184" s="96" t="s">
        <v>1556</v>
      </c>
      <c r="C184" s="524">
        <v>1982</v>
      </c>
      <c r="D184" s="524">
        <v>1730</v>
      </c>
      <c r="E184" s="524">
        <v>2657</v>
      </c>
      <c r="F184" s="97">
        <v>3575</v>
      </c>
      <c r="G184" s="524">
        <v>4289</v>
      </c>
    </row>
    <row r="185" spans="2:7" ht="15.5">
      <c r="B185" s="207" t="s">
        <v>998</v>
      </c>
      <c r="C185" s="132">
        <v>998</v>
      </c>
      <c r="D185" s="132">
        <v>859</v>
      </c>
      <c r="E185" s="128">
        <v>1340</v>
      </c>
      <c r="F185" s="128">
        <v>1801</v>
      </c>
      <c r="G185" s="128">
        <v>2149</v>
      </c>
    </row>
    <row r="186" spans="2:7" ht="15.5">
      <c r="B186" s="207" t="s">
        <v>999</v>
      </c>
      <c r="C186" s="132">
        <v>984</v>
      </c>
      <c r="D186" s="132">
        <v>871</v>
      </c>
      <c r="E186" s="128">
        <v>1317</v>
      </c>
      <c r="F186" s="128">
        <v>1774</v>
      </c>
      <c r="G186" s="128">
        <v>2140</v>
      </c>
    </row>
    <row r="187" spans="2:7" ht="15.5">
      <c r="B187" s="96" t="s">
        <v>1127</v>
      </c>
      <c r="C187" s="524">
        <v>27119</v>
      </c>
      <c r="D187" s="524">
        <v>26514</v>
      </c>
      <c r="E187" s="524">
        <v>26818</v>
      </c>
      <c r="F187" s="97">
        <v>23052</v>
      </c>
      <c r="G187" s="524">
        <v>23119</v>
      </c>
    </row>
    <row r="188" spans="2:7" ht="15.5">
      <c r="B188" s="207" t="s">
        <v>998</v>
      </c>
      <c r="C188" s="128">
        <v>13883</v>
      </c>
      <c r="D188" s="128">
        <v>13437</v>
      </c>
      <c r="E188" s="128">
        <v>13370</v>
      </c>
      <c r="F188" s="128">
        <v>11584</v>
      </c>
      <c r="G188" s="128">
        <v>11660</v>
      </c>
    </row>
    <row r="189" spans="2:7" ht="15.5">
      <c r="B189" s="207" t="s">
        <v>999</v>
      </c>
      <c r="C189" s="128">
        <v>13236</v>
      </c>
      <c r="D189" s="128">
        <v>13077</v>
      </c>
      <c r="E189" s="128">
        <v>13448</v>
      </c>
      <c r="F189" s="128">
        <v>11468</v>
      </c>
      <c r="G189" s="128">
        <v>11459</v>
      </c>
    </row>
    <row r="190" spans="2:7" ht="15.5">
      <c r="B190" s="96" t="s">
        <v>1557</v>
      </c>
      <c r="C190" s="524">
        <v>10015</v>
      </c>
      <c r="D190" s="524">
        <v>11551</v>
      </c>
      <c r="E190" s="524">
        <v>11794</v>
      </c>
      <c r="F190" s="97">
        <v>12168</v>
      </c>
      <c r="G190" s="524">
        <v>11563</v>
      </c>
    </row>
    <row r="191" spans="2:7" ht="15.5">
      <c r="B191" s="207" t="s">
        <v>998</v>
      </c>
      <c r="C191" s="128">
        <v>5486</v>
      </c>
      <c r="D191" s="128">
        <v>6078</v>
      </c>
      <c r="E191" s="128">
        <v>6001</v>
      </c>
      <c r="F191" s="128">
        <v>6570</v>
      </c>
      <c r="G191" s="128">
        <v>6148</v>
      </c>
    </row>
    <row r="192" spans="2:7" ht="15.5">
      <c r="B192" s="207" t="s">
        <v>999</v>
      </c>
      <c r="C192" s="128">
        <v>4529</v>
      </c>
      <c r="D192" s="128">
        <v>5473</v>
      </c>
      <c r="E192" s="128">
        <v>5793</v>
      </c>
      <c r="F192" s="128">
        <v>5598</v>
      </c>
      <c r="G192" s="128">
        <v>5415</v>
      </c>
    </row>
    <row r="193" spans="2:7" ht="15.5">
      <c r="B193" s="96" t="s">
        <v>1558</v>
      </c>
      <c r="C193" s="107">
        <v>463</v>
      </c>
      <c r="D193" s="107">
        <v>356</v>
      </c>
      <c r="E193" s="107">
        <v>415</v>
      </c>
      <c r="F193" s="107">
        <v>534</v>
      </c>
      <c r="G193" s="107">
        <v>757</v>
      </c>
    </row>
    <row r="194" spans="2:7" ht="15.5">
      <c r="B194" s="207" t="s">
        <v>998</v>
      </c>
      <c r="C194" s="132">
        <v>261</v>
      </c>
      <c r="D194" s="132">
        <v>205</v>
      </c>
      <c r="E194" s="132">
        <v>221</v>
      </c>
      <c r="F194" s="132">
        <v>342</v>
      </c>
      <c r="G194" s="132">
        <v>460</v>
      </c>
    </row>
    <row r="195" spans="2:7" ht="15.5">
      <c r="B195" s="207" t="s">
        <v>999</v>
      </c>
      <c r="C195" s="132">
        <v>202</v>
      </c>
      <c r="D195" s="132">
        <v>151</v>
      </c>
      <c r="E195" s="132">
        <v>194</v>
      </c>
      <c r="F195" s="132">
        <v>192</v>
      </c>
      <c r="G195" s="132">
        <v>297</v>
      </c>
    </row>
    <row r="196" spans="2:7">
      <c r="B196" s="11" t="s">
        <v>1277</v>
      </c>
      <c r="C196" s="19"/>
      <c r="D196" s="19"/>
      <c r="E196" s="19"/>
      <c r="F196" s="19"/>
    </row>
    <row r="197" spans="2:7" ht="15.5">
      <c r="B197" s="7" t="s">
        <v>314</v>
      </c>
      <c r="F197" s="19"/>
    </row>
    <row r="198" spans="2:7" ht="15.5">
      <c r="B198" s="88" t="s">
        <v>1559</v>
      </c>
    </row>
    <row r="199" spans="2:7" ht="15.5">
      <c r="B199" s="95" t="s">
        <v>376</v>
      </c>
      <c r="C199" s="547">
        <v>2018</v>
      </c>
      <c r="D199" s="547">
        <v>2019</v>
      </c>
      <c r="E199" s="547" t="s">
        <v>335</v>
      </c>
      <c r="F199" s="71" t="s">
        <v>256</v>
      </c>
      <c r="G199" s="71" t="s">
        <v>257</v>
      </c>
    </row>
    <row r="200" spans="2:7" ht="15.5">
      <c r="B200" s="96" t="s">
        <v>1555</v>
      </c>
      <c r="C200" s="524">
        <v>39579</v>
      </c>
      <c r="D200" s="524">
        <v>40151</v>
      </c>
      <c r="E200" s="524">
        <v>41684</v>
      </c>
      <c r="F200" s="97">
        <v>39329</v>
      </c>
      <c r="G200" s="524">
        <v>39728</v>
      </c>
    </row>
    <row r="201" spans="2:7" ht="15.5">
      <c r="B201" s="207" t="s">
        <v>625</v>
      </c>
      <c r="C201" s="128">
        <v>20628</v>
      </c>
      <c r="D201" s="128">
        <v>20579</v>
      </c>
      <c r="E201" s="128">
        <v>20932</v>
      </c>
      <c r="F201" s="128">
        <v>20297</v>
      </c>
      <c r="G201" s="128">
        <v>20417</v>
      </c>
    </row>
    <row r="202" spans="2:7" ht="15.5">
      <c r="B202" s="207" t="s">
        <v>626</v>
      </c>
      <c r="C202" s="128">
        <v>18951</v>
      </c>
      <c r="D202" s="128">
        <v>19572</v>
      </c>
      <c r="E202" s="128">
        <v>20752</v>
      </c>
      <c r="F202" s="128">
        <v>19032</v>
      </c>
      <c r="G202" s="128">
        <v>19311</v>
      </c>
    </row>
    <row r="203" spans="2:7" ht="15.5">
      <c r="B203" s="235" t="s">
        <v>627</v>
      </c>
      <c r="C203" s="118">
        <v>0.52100000000000002</v>
      </c>
      <c r="D203" s="118">
        <v>0.51300000000000001</v>
      </c>
      <c r="E203" s="118">
        <v>0.502</v>
      </c>
      <c r="F203" s="118">
        <v>0.51600000000000001</v>
      </c>
      <c r="G203" s="118">
        <v>0.51400000000000001</v>
      </c>
    </row>
    <row r="204" spans="2:7" ht="15.5">
      <c r="B204" s="235" t="s">
        <v>628</v>
      </c>
      <c r="C204" s="118">
        <v>0.47899999999999998</v>
      </c>
      <c r="D204" s="118">
        <v>0.48699999999999999</v>
      </c>
      <c r="E204" s="118">
        <v>0.498</v>
      </c>
      <c r="F204" s="118">
        <v>0.48399999999999999</v>
      </c>
      <c r="G204" s="118">
        <v>0.48599999999999999</v>
      </c>
    </row>
    <row r="205" spans="2:7" ht="15.5">
      <c r="B205" s="96" t="s">
        <v>1560</v>
      </c>
      <c r="C205" s="524">
        <v>24188</v>
      </c>
      <c r="D205" s="524">
        <v>25236</v>
      </c>
      <c r="E205" s="524">
        <v>24226</v>
      </c>
      <c r="F205" s="97">
        <v>24285</v>
      </c>
      <c r="G205" s="524">
        <v>25065</v>
      </c>
    </row>
    <row r="206" spans="2:7" ht="15.5">
      <c r="B206" s="207" t="s">
        <v>625</v>
      </c>
      <c r="C206" s="128">
        <v>12946</v>
      </c>
      <c r="D206" s="128">
        <v>13193</v>
      </c>
      <c r="E206" s="128">
        <v>12472</v>
      </c>
      <c r="F206" s="128">
        <v>12759</v>
      </c>
      <c r="G206" s="128">
        <v>13124</v>
      </c>
    </row>
    <row r="207" spans="2:7" ht="15.5">
      <c r="B207" s="207" t="s">
        <v>626</v>
      </c>
      <c r="C207" s="128">
        <v>11242</v>
      </c>
      <c r="D207" s="128">
        <v>12043</v>
      </c>
      <c r="E207" s="128">
        <v>11754</v>
      </c>
      <c r="F207" s="128">
        <v>11526</v>
      </c>
      <c r="G207" s="128">
        <v>11941</v>
      </c>
    </row>
    <row r="208" spans="2:7" ht="16.5" customHeight="1">
      <c r="B208" s="96" t="s">
        <v>1561</v>
      </c>
      <c r="C208" s="524">
        <v>11245</v>
      </c>
      <c r="D208" s="524">
        <v>12009</v>
      </c>
      <c r="E208" s="524">
        <v>8773</v>
      </c>
      <c r="F208" s="97">
        <v>7039</v>
      </c>
      <c r="G208" s="524">
        <v>6831</v>
      </c>
    </row>
    <row r="209" spans="2:8" ht="15.5">
      <c r="B209" s="207" t="s">
        <v>625</v>
      </c>
      <c r="C209" s="128">
        <v>5659</v>
      </c>
      <c r="D209" s="128">
        <v>5959</v>
      </c>
      <c r="E209" s="128">
        <v>4291</v>
      </c>
      <c r="F209" s="128">
        <v>3593</v>
      </c>
      <c r="G209" s="128">
        <v>3507</v>
      </c>
    </row>
    <row r="210" spans="2:8" ht="15.5">
      <c r="B210" s="207" t="s">
        <v>626</v>
      </c>
      <c r="C210" s="128">
        <v>5586</v>
      </c>
      <c r="D210" s="128">
        <v>6050</v>
      </c>
      <c r="E210" s="128">
        <v>4482</v>
      </c>
      <c r="F210" s="128">
        <v>3446</v>
      </c>
      <c r="G210" s="128">
        <v>3324</v>
      </c>
    </row>
    <row r="211" spans="2:8" ht="15.5">
      <c r="B211" s="96" t="s">
        <v>1562</v>
      </c>
      <c r="C211" s="524">
        <v>4146</v>
      </c>
      <c r="D211" s="524">
        <v>2906</v>
      </c>
      <c r="E211" s="524">
        <v>8685</v>
      </c>
      <c r="F211" s="97">
        <v>8005</v>
      </c>
      <c r="G211" s="524">
        <v>7832</v>
      </c>
    </row>
    <row r="212" spans="2:8" ht="15.5">
      <c r="B212" s="207" t="s">
        <v>625</v>
      </c>
      <c r="C212" s="128">
        <v>2023</v>
      </c>
      <c r="D212" s="128">
        <v>1427</v>
      </c>
      <c r="E212" s="128">
        <v>4169</v>
      </c>
      <c r="F212" s="128">
        <v>3945</v>
      </c>
      <c r="G212" s="128">
        <v>3786</v>
      </c>
    </row>
    <row r="213" spans="2:8" ht="15.5">
      <c r="B213" s="207" t="s">
        <v>626</v>
      </c>
      <c r="C213" s="128">
        <v>2123</v>
      </c>
      <c r="D213" s="128">
        <v>1479</v>
      </c>
      <c r="E213" s="128">
        <v>4516</v>
      </c>
      <c r="F213" s="128">
        <v>4060</v>
      </c>
      <c r="G213" s="128">
        <v>4046</v>
      </c>
    </row>
    <row r="214" spans="2:8">
      <c r="B214" s="50" t="s">
        <v>431</v>
      </c>
      <c r="C214" s="19"/>
      <c r="D214" s="19"/>
      <c r="E214" s="19"/>
    </row>
    <row r="215" spans="2:8" ht="15.5">
      <c r="B215" s="7"/>
      <c r="C215" s="20"/>
      <c r="D215" s="19"/>
      <c r="E215" s="19"/>
      <c r="F215" s="19"/>
    </row>
    <row r="216" spans="2:8" ht="15.5">
      <c r="B216" s="18" t="s">
        <v>224</v>
      </c>
      <c r="C216" s="20"/>
      <c r="D216" s="19"/>
      <c r="E216" s="19"/>
      <c r="F216" s="19"/>
    </row>
    <row r="217" spans="2:8" ht="15.5">
      <c r="B217" s="18"/>
      <c r="F217" s="19"/>
    </row>
    <row r="218" spans="2:8" ht="15.5">
      <c r="B218" s="88" t="s">
        <v>1563</v>
      </c>
    </row>
    <row r="219" spans="2:8" ht="15.5">
      <c r="B219" s="95" t="s">
        <v>376</v>
      </c>
      <c r="C219" s="547">
        <v>2017</v>
      </c>
      <c r="D219" s="547">
        <v>2018</v>
      </c>
      <c r="E219" s="547">
        <v>2019</v>
      </c>
      <c r="F219" s="71" t="s">
        <v>335</v>
      </c>
      <c r="G219" s="71" t="s">
        <v>256</v>
      </c>
      <c r="H219" s="71" t="s">
        <v>1564</v>
      </c>
    </row>
    <row r="220" spans="2:8" ht="15.5">
      <c r="B220" s="96" t="s">
        <v>1565</v>
      </c>
      <c r="C220" s="524">
        <v>258839</v>
      </c>
      <c r="D220" s="524">
        <v>229659</v>
      </c>
      <c r="E220" s="524">
        <v>212977</v>
      </c>
      <c r="F220" s="97">
        <v>191417</v>
      </c>
      <c r="G220" s="97">
        <v>180680</v>
      </c>
      <c r="H220" s="524">
        <v>171974</v>
      </c>
    </row>
    <row r="221" spans="2:8" ht="15.5">
      <c r="B221" s="207" t="s">
        <v>998</v>
      </c>
      <c r="C221" s="128">
        <v>129545</v>
      </c>
      <c r="D221" s="128">
        <v>115491</v>
      </c>
      <c r="E221" s="128">
        <v>107348</v>
      </c>
      <c r="F221" s="128">
        <v>96297</v>
      </c>
      <c r="G221" s="128">
        <v>89678</v>
      </c>
      <c r="H221" s="128">
        <v>85708</v>
      </c>
    </row>
    <row r="222" spans="2:8" ht="15.5">
      <c r="B222" s="207" t="s">
        <v>999</v>
      </c>
      <c r="C222" s="128">
        <v>129294</v>
      </c>
      <c r="D222" s="128">
        <v>114168</v>
      </c>
      <c r="E222" s="128">
        <v>105629</v>
      </c>
      <c r="F222" s="128">
        <v>95120</v>
      </c>
      <c r="G222" s="128">
        <v>91002</v>
      </c>
      <c r="H222" s="128">
        <v>86266</v>
      </c>
    </row>
    <row r="223" spans="2:8" ht="15.5">
      <c r="B223" s="235" t="s">
        <v>627</v>
      </c>
      <c r="C223" s="118">
        <v>0.5</v>
      </c>
      <c r="D223" s="118">
        <v>0.503</v>
      </c>
      <c r="E223" s="118">
        <v>0.504</v>
      </c>
      <c r="F223" s="118">
        <v>0.503</v>
      </c>
      <c r="G223" s="118">
        <v>0.496</v>
      </c>
      <c r="H223" s="118">
        <v>0.498</v>
      </c>
    </row>
    <row r="224" spans="2:8" ht="15.5">
      <c r="B224" s="235" t="s">
        <v>628</v>
      </c>
      <c r="C224" s="118">
        <v>0.5</v>
      </c>
      <c r="D224" s="118">
        <v>0.497</v>
      </c>
      <c r="E224" s="118">
        <v>0.496</v>
      </c>
      <c r="F224" s="118">
        <v>0.497</v>
      </c>
      <c r="G224" s="118">
        <v>0.504</v>
      </c>
      <c r="H224" s="118">
        <v>0.502</v>
      </c>
    </row>
    <row r="225" spans="2:8" ht="15.5">
      <c r="B225" s="96" t="s">
        <v>1556</v>
      </c>
      <c r="C225" s="524">
        <v>5904</v>
      </c>
      <c r="D225" s="524">
        <v>5314</v>
      </c>
      <c r="E225" s="524">
        <v>10298</v>
      </c>
      <c r="F225" s="97">
        <v>7323</v>
      </c>
      <c r="G225" s="97">
        <v>5222</v>
      </c>
      <c r="H225" s="524">
        <v>6828</v>
      </c>
    </row>
    <row r="226" spans="2:8" ht="15.5">
      <c r="B226" s="207" t="s">
        <v>998</v>
      </c>
      <c r="C226" s="128">
        <v>2874</v>
      </c>
      <c r="D226" s="128">
        <v>2644</v>
      </c>
      <c r="E226" s="128">
        <v>5158</v>
      </c>
      <c r="F226" s="128">
        <v>3603</v>
      </c>
      <c r="G226" s="128">
        <v>2540</v>
      </c>
      <c r="H226" s="128">
        <v>3389</v>
      </c>
    </row>
    <row r="227" spans="2:8" ht="15.5">
      <c r="B227" s="207" t="s">
        <v>999</v>
      </c>
      <c r="C227" s="128">
        <v>3030</v>
      </c>
      <c r="D227" s="128">
        <v>2670</v>
      </c>
      <c r="E227" s="128">
        <v>5140</v>
      </c>
      <c r="F227" s="128">
        <v>3720</v>
      </c>
      <c r="G227" s="128">
        <v>2682</v>
      </c>
      <c r="H227" s="128">
        <v>3439</v>
      </c>
    </row>
    <row r="228" spans="2:8" ht="15.5">
      <c r="B228" s="96" t="s">
        <v>1127</v>
      </c>
      <c r="C228" s="524">
        <v>166024</v>
      </c>
      <c r="D228" s="524">
        <v>148770</v>
      </c>
      <c r="E228" s="524">
        <v>130053</v>
      </c>
      <c r="F228" s="97">
        <v>123056</v>
      </c>
      <c r="G228" s="97">
        <v>116438</v>
      </c>
      <c r="H228" s="524">
        <v>109434</v>
      </c>
    </row>
    <row r="229" spans="2:8" ht="15.5">
      <c r="B229" s="207" t="s">
        <v>998</v>
      </c>
      <c r="C229" s="128">
        <v>83773</v>
      </c>
      <c r="D229" s="128">
        <v>75580</v>
      </c>
      <c r="E229" s="128">
        <v>66543</v>
      </c>
      <c r="F229" s="128">
        <v>62689</v>
      </c>
      <c r="G229" s="128">
        <v>59058</v>
      </c>
      <c r="H229" s="128">
        <v>56009</v>
      </c>
    </row>
    <row r="230" spans="2:8" ht="15.5">
      <c r="B230" s="207" t="s">
        <v>999</v>
      </c>
      <c r="C230" s="128">
        <v>82251</v>
      </c>
      <c r="D230" s="128">
        <v>73190</v>
      </c>
      <c r="E230" s="128">
        <v>63510</v>
      </c>
      <c r="F230" s="128">
        <v>60367</v>
      </c>
      <c r="G230" s="128">
        <v>57380</v>
      </c>
      <c r="H230" s="128">
        <v>53425</v>
      </c>
    </row>
    <row r="231" spans="2:8" ht="15.5">
      <c r="B231" s="96" t="s">
        <v>1557</v>
      </c>
      <c r="C231" s="524">
        <v>81352</v>
      </c>
      <c r="D231" s="524">
        <v>64526</v>
      </c>
      <c r="E231" s="524">
        <v>62462</v>
      </c>
      <c r="F231" s="97">
        <v>51085</v>
      </c>
      <c r="G231" s="97">
        <v>51747</v>
      </c>
      <c r="H231" s="524">
        <v>48034</v>
      </c>
    </row>
    <row r="232" spans="2:8" ht="15.5">
      <c r="B232" s="207" t="s">
        <v>998</v>
      </c>
      <c r="C232" s="128">
        <v>39935</v>
      </c>
      <c r="D232" s="128">
        <v>31216</v>
      </c>
      <c r="E232" s="128">
        <v>30126</v>
      </c>
      <c r="F232" s="128">
        <v>24765</v>
      </c>
      <c r="G232" s="128">
        <v>23984</v>
      </c>
      <c r="H232" s="128">
        <v>22172</v>
      </c>
    </row>
    <row r="233" spans="2:8" ht="15.5">
      <c r="B233" s="207" t="s">
        <v>999</v>
      </c>
      <c r="C233" s="128">
        <v>41417</v>
      </c>
      <c r="D233" s="128">
        <v>33310</v>
      </c>
      <c r="E233" s="128">
        <v>32336</v>
      </c>
      <c r="F233" s="128">
        <v>26320</v>
      </c>
      <c r="G233" s="128">
        <v>27763</v>
      </c>
      <c r="H233" s="128">
        <v>25862</v>
      </c>
    </row>
    <row r="234" spans="2:8" ht="15.5">
      <c r="B234" s="96" t="s">
        <v>1558</v>
      </c>
      <c r="C234" s="524">
        <v>5559</v>
      </c>
      <c r="D234" s="524">
        <v>11049</v>
      </c>
      <c r="E234" s="524">
        <v>10164</v>
      </c>
      <c r="F234" s="97">
        <v>9953</v>
      </c>
      <c r="G234" s="97">
        <v>7273</v>
      </c>
      <c r="H234" s="524">
        <v>7678</v>
      </c>
    </row>
    <row r="235" spans="2:8" ht="15.5">
      <c r="B235" s="207" t="s">
        <v>998</v>
      </c>
      <c r="C235" s="128">
        <v>2963</v>
      </c>
      <c r="D235" s="128">
        <v>6051</v>
      </c>
      <c r="E235" s="128">
        <v>5521</v>
      </c>
      <c r="F235" s="128">
        <v>5240</v>
      </c>
      <c r="G235" s="128">
        <v>4096</v>
      </c>
      <c r="H235" s="128">
        <v>4138</v>
      </c>
    </row>
    <row r="236" spans="2:8" ht="15.5">
      <c r="B236" s="207" t="s">
        <v>999</v>
      </c>
      <c r="C236" s="128">
        <v>2596</v>
      </c>
      <c r="D236" s="128">
        <v>4998</v>
      </c>
      <c r="E236" s="128">
        <v>4643</v>
      </c>
      <c r="F236" s="128">
        <v>4713</v>
      </c>
      <c r="G236" s="128">
        <v>3177</v>
      </c>
      <c r="H236" s="128">
        <v>3540</v>
      </c>
    </row>
    <row r="237" spans="2:8">
      <c r="B237" s="50" t="s">
        <v>431</v>
      </c>
      <c r="C237" s="19"/>
      <c r="D237" s="19"/>
      <c r="E237" s="19"/>
    </row>
    <row r="238" spans="2:8" ht="15.5">
      <c r="B238" s="7"/>
      <c r="F238" s="19"/>
    </row>
    <row r="239" spans="2:8" ht="15.5">
      <c r="B239" s="88" t="s">
        <v>1673</v>
      </c>
    </row>
    <row r="240" spans="2:8" ht="15.5">
      <c r="B240" s="95" t="s">
        <v>376</v>
      </c>
      <c r="C240" s="547">
        <v>2017</v>
      </c>
      <c r="D240" s="547">
        <v>2018</v>
      </c>
      <c r="E240" s="547">
        <v>2019</v>
      </c>
      <c r="F240" s="71" t="s">
        <v>335</v>
      </c>
      <c r="G240" s="71" t="s">
        <v>256</v>
      </c>
      <c r="H240" s="71" t="s">
        <v>257</v>
      </c>
    </row>
    <row r="241" spans="2:8" ht="15.5">
      <c r="B241" s="190" t="s">
        <v>1566</v>
      </c>
      <c r="C241" s="191">
        <v>258839</v>
      </c>
      <c r="D241" s="191">
        <v>229659</v>
      </c>
      <c r="E241" s="191">
        <v>212977</v>
      </c>
      <c r="F241" s="191">
        <v>191417</v>
      </c>
      <c r="G241" s="191">
        <v>180680</v>
      </c>
      <c r="H241" s="191">
        <v>171974</v>
      </c>
    </row>
    <row r="242" spans="2:8" ht="15.5">
      <c r="B242" s="207" t="s">
        <v>625</v>
      </c>
      <c r="C242" s="128">
        <v>129545</v>
      </c>
      <c r="D242" s="128">
        <v>115491</v>
      </c>
      <c r="E242" s="128">
        <v>107348</v>
      </c>
      <c r="F242" s="128">
        <v>96297</v>
      </c>
      <c r="G242" s="128">
        <v>89678</v>
      </c>
      <c r="H242" s="128">
        <v>85708</v>
      </c>
    </row>
    <row r="243" spans="2:8" ht="15.5">
      <c r="B243" s="207" t="s">
        <v>626</v>
      </c>
      <c r="C243" s="128">
        <v>129294</v>
      </c>
      <c r="D243" s="128">
        <v>114168</v>
      </c>
      <c r="E243" s="128">
        <v>105629</v>
      </c>
      <c r="F243" s="128">
        <v>95120</v>
      </c>
      <c r="G243" s="128">
        <v>91002</v>
      </c>
      <c r="H243" s="128">
        <v>86266</v>
      </c>
    </row>
    <row r="244" spans="2:8" ht="15.5">
      <c r="B244" s="235" t="s">
        <v>627</v>
      </c>
      <c r="C244" s="189">
        <v>0.5</v>
      </c>
      <c r="D244" s="189">
        <v>0.503</v>
      </c>
      <c r="E244" s="189">
        <v>0.504</v>
      </c>
      <c r="F244" s="189">
        <v>0.503</v>
      </c>
      <c r="G244" s="189">
        <v>0.496</v>
      </c>
      <c r="H244" s="189">
        <v>0.498</v>
      </c>
    </row>
    <row r="245" spans="2:8" ht="15.5">
      <c r="B245" s="235" t="s">
        <v>628</v>
      </c>
      <c r="C245" s="189">
        <v>0.5</v>
      </c>
      <c r="D245" s="189">
        <v>0.497</v>
      </c>
      <c r="E245" s="189">
        <v>0.496</v>
      </c>
      <c r="F245" s="189">
        <v>0.497</v>
      </c>
      <c r="G245" s="189">
        <v>0.504</v>
      </c>
      <c r="H245" s="189">
        <v>0.502</v>
      </c>
    </row>
    <row r="246" spans="2:8" ht="15.5">
      <c r="B246" s="96" t="s">
        <v>1567</v>
      </c>
      <c r="C246" s="524">
        <v>74841</v>
      </c>
      <c r="D246" s="524">
        <v>70686</v>
      </c>
      <c r="E246" s="524">
        <v>67313</v>
      </c>
      <c r="F246" s="97">
        <v>63252</v>
      </c>
      <c r="G246" s="97">
        <v>55622</v>
      </c>
      <c r="H246" s="524">
        <v>53825</v>
      </c>
    </row>
    <row r="247" spans="2:8" ht="15.5">
      <c r="B247" s="207" t="s">
        <v>625</v>
      </c>
      <c r="C247" s="128">
        <v>37566</v>
      </c>
      <c r="D247" s="128">
        <v>35703</v>
      </c>
      <c r="E247" s="128">
        <v>33755</v>
      </c>
      <c r="F247" s="128">
        <v>31569</v>
      </c>
      <c r="G247" s="128">
        <v>27740</v>
      </c>
      <c r="H247" s="128">
        <v>26926</v>
      </c>
    </row>
    <row r="248" spans="2:8" ht="15.5">
      <c r="B248" s="207" t="s">
        <v>626</v>
      </c>
      <c r="C248" s="128">
        <v>37275</v>
      </c>
      <c r="D248" s="128">
        <v>34983</v>
      </c>
      <c r="E248" s="128">
        <v>33558</v>
      </c>
      <c r="F248" s="128">
        <v>31683</v>
      </c>
      <c r="G248" s="128">
        <v>27882</v>
      </c>
      <c r="H248" s="128">
        <v>26899</v>
      </c>
    </row>
    <row r="249" spans="2:8" ht="15.5">
      <c r="B249" s="96" t="s">
        <v>1568</v>
      </c>
      <c r="C249" s="524">
        <v>149524</v>
      </c>
      <c r="D249" s="524">
        <v>130312</v>
      </c>
      <c r="E249" s="524">
        <v>120976</v>
      </c>
      <c r="F249" s="97">
        <v>100340</v>
      </c>
      <c r="G249" s="237">
        <v>100955</v>
      </c>
      <c r="H249" s="237">
        <v>95960</v>
      </c>
    </row>
    <row r="250" spans="2:8" ht="15.5">
      <c r="B250" s="207" t="s">
        <v>625</v>
      </c>
      <c r="C250" s="128">
        <v>74416</v>
      </c>
      <c r="D250" s="128">
        <v>65188</v>
      </c>
      <c r="E250" s="128">
        <v>60841</v>
      </c>
      <c r="F250" s="128">
        <v>50548</v>
      </c>
      <c r="G250" s="128">
        <v>49646</v>
      </c>
      <c r="H250" s="128">
        <v>47487</v>
      </c>
    </row>
    <row r="251" spans="2:8" ht="15.5">
      <c r="B251" s="207" t="s">
        <v>626</v>
      </c>
      <c r="C251" s="128">
        <v>75108</v>
      </c>
      <c r="D251" s="128">
        <v>65124</v>
      </c>
      <c r="E251" s="128">
        <v>60135</v>
      </c>
      <c r="F251" s="128">
        <v>49792</v>
      </c>
      <c r="G251" s="128">
        <v>51309</v>
      </c>
      <c r="H251" s="128">
        <v>48473</v>
      </c>
    </row>
    <row r="252" spans="2:8" ht="15.5">
      <c r="B252" s="96" t="s">
        <v>1569</v>
      </c>
      <c r="C252" s="524">
        <v>34474</v>
      </c>
      <c r="D252" s="524">
        <v>28661</v>
      </c>
      <c r="E252" s="524">
        <v>24688</v>
      </c>
      <c r="F252" s="97">
        <v>27825</v>
      </c>
      <c r="G252" s="97">
        <v>24103</v>
      </c>
      <c r="H252" s="524">
        <v>22189</v>
      </c>
    </row>
    <row r="253" spans="2:8" ht="15.5">
      <c r="B253" s="207" t="s">
        <v>625</v>
      </c>
      <c r="C253" s="128">
        <v>17563</v>
      </c>
      <c r="D253" s="128">
        <v>14600</v>
      </c>
      <c r="E253" s="128">
        <v>12752</v>
      </c>
      <c r="F253" s="128">
        <v>14180</v>
      </c>
      <c r="G253" s="128">
        <v>12292</v>
      </c>
      <c r="H253" s="128">
        <v>11295</v>
      </c>
    </row>
    <row r="254" spans="2:8" ht="15.5">
      <c r="B254" s="207" t="s">
        <v>626</v>
      </c>
      <c r="C254" s="128">
        <v>16911</v>
      </c>
      <c r="D254" s="128">
        <v>14061</v>
      </c>
      <c r="E254" s="128">
        <v>11936</v>
      </c>
      <c r="F254" s="128">
        <v>13645</v>
      </c>
      <c r="G254" s="128">
        <v>11811</v>
      </c>
      <c r="H254" s="128">
        <v>10894</v>
      </c>
    </row>
    <row r="255" spans="2:8">
      <c r="B255" s="279" t="s">
        <v>431</v>
      </c>
      <c r="C255" s="19"/>
      <c r="D255" s="19"/>
      <c r="E255" s="19"/>
    </row>
    <row r="256" spans="2:8" ht="15.5">
      <c r="B256" s="9" t="s">
        <v>314</v>
      </c>
      <c r="C256" s="20"/>
      <c r="D256" s="19"/>
      <c r="E256" s="19"/>
      <c r="F256" s="19"/>
    </row>
    <row r="257" spans="2:7" ht="15.5">
      <c r="B257" s="18" t="s">
        <v>1674</v>
      </c>
      <c r="C257" s="20"/>
      <c r="D257" s="19"/>
      <c r="E257" s="19"/>
      <c r="F257" s="19"/>
    </row>
    <row r="258" spans="2:7" ht="15.5">
      <c r="B258" s="18"/>
      <c r="C258" s="19"/>
      <c r="D258" s="19"/>
      <c r="E258" s="19"/>
      <c r="F258" s="19"/>
    </row>
    <row r="259" spans="2:7" ht="15.5">
      <c r="B259" s="6" t="s">
        <v>1570</v>
      </c>
      <c r="C259" s="19"/>
      <c r="D259" s="19"/>
      <c r="E259" s="19"/>
      <c r="F259" s="19"/>
    </row>
    <row r="260" spans="2:7" ht="15.5">
      <c r="B260" s="360" t="s">
        <v>705</v>
      </c>
      <c r="C260" s="449" t="s">
        <v>1003</v>
      </c>
      <c r="D260" s="449" t="s">
        <v>853</v>
      </c>
      <c r="E260" s="449" t="s">
        <v>854</v>
      </c>
      <c r="F260" s="533" t="s">
        <v>270</v>
      </c>
      <c r="G260" s="19"/>
    </row>
    <row r="261" spans="2:7" ht="15.5">
      <c r="B261" s="363" t="s">
        <v>315</v>
      </c>
      <c r="C261" s="713">
        <v>8957</v>
      </c>
      <c r="D261" s="713">
        <v>8848</v>
      </c>
      <c r="E261" s="713">
        <v>11073</v>
      </c>
      <c r="F261" s="713">
        <v>6376</v>
      </c>
      <c r="G261" s="19"/>
    </row>
    <row r="262" spans="2:7" ht="15.5">
      <c r="B262" s="364" t="s">
        <v>782</v>
      </c>
      <c r="C262" s="711">
        <v>7798</v>
      </c>
      <c r="D262" s="711">
        <v>7305</v>
      </c>
      <c r="E262" s="711">
        <v>9242</v>
      </c>
      <c r="F262" s="711">
        <v>5681</v>
      </c>
      <c r="G262" s="19"/>
    </row>
    <row r="263" spans="2:7" ht="15.5">
      <c r="B263" s="364" t="s">
        <v>783</v>
      </c>
      <c r="C263" s="711">
        <v>1159</v>
      </c>
      <c r="D263" s="711">
        <v>1543</v>
      </c>
      <c r="E263" s="711">
        <v>1831</v>
      </c>
      <c r="F263" s="712">
        <v>695</v>
      </c>
      <c r="G263" s="19"/>
    </row>
    <row r="264" spans="2:7" ht="15.5">
      <c r="B264" s="365" t="s">
        <v>1571</v>
      </c>
      <c r="C264" s="714">
        <v>0.871</v>
      </c>
      <c r="D264" s="714">
        <v>0.82599999999999996</v>
      </c>
      <c r="E264" s="714">
        <v>0.83499999999999996</v>
      </c>
      <c r="F264" s="714">
        <v>0.89100000000000001</v>
      </c>
      <c r="G264" s="19"/>
    </row>
    <row r="265" spans="2:7" ht="15.5">
      <c r="B265" s="365" t="s">
        <v>1572</v>
      </c>
      <c r="C265" s="714">
        <v>0.129</v>
      </c>
      <c r="D265" s="714">
        <v>0.17399999999999999</v>
      </c>
      <c r="E265" s="714">
        <v>0.16500000000000001</v>
      </c>
      <c r="F265" s="714">
        <v>0.109</v>
      </c>
      <c r="G265" s="19"/>
    </row>
    <row r="266" spans="2:7" ht="15.5">
      <c r="B266" s="366" t="s">
        <v>1573</v>
      </c>
      <c r="C266" s="735"/>
      <c r="D266" s="735"/>
      <c r="E266" s="735"/>
      <c r="F266" s="735">
        <v>107</v>
      </c>
      <c r="G266" s="19"/>
    </row>
    <row r="267" spans="2:7" ht="15.5">
      <c r="B267" s="367" t="s">
        <v>782</v>
      </c>
      <c r="C267" s="712"/>
      <c r="D267" s="712"/>
      <c r="E267" s="736"/>
      <c r="F267" s="736">
        <v>99</v>
      </c>
      <c r="G267" s="19"/>
    </row>
    <row r="268" spans="2:7" ht="15.5">
      <c r="B268" s="367" t="s">
        <v>783</v>
      </c>
      <c r="C268" s="712"/>
      <c r="D268" s="712"/>
      <c r="E268" s="736"/>
      <c r="F268" s="736">
        <v>8</v>
      </c>
      <c r="G268" s="19"/>
    </row>
    <row r="269" spans="2:7" ht="15.5">
      <c r="B269" s="366" t="s">
        <v>1574</v>
      </c>
      <c r="C269" s="735"/>
      <c r="D269" s="735"/>
      <c r="E269" s="735"/>
      <c r="F269" s="735">
        <v>46</v>
      </c>
      <c r="G269" s="19"/>
    </row>
    <row r="270" spans="2:7" ht="15.5">
      <c r="B270" s="367" t="s">
        <v>782</v>
      </c>
      <c r="C270" s="712"/>
      <c r="D270" s="712"/>
      <c r="E270" s="736"/>
      <c r="F270" s="736">
        <v>23</v>
      </c>
      <c r="G270" s="19"/>
    </row>
    <row r="271" spans="2:7" ht="15.5">
      <c r="B271" s="367" t="s">
        <v>783</v>
      </c>
      <c r="C271" s="712"/>
      <c r="D271" s="712"/>
      <c r="E271" s="736"/>
      <c r="F271" s="736">
        <v>23</v>
      </c>
      <c r="G271" s="19"/>
    </row>
    <row r="272" spans="2:7" ht="15.5">
      <c r="B272" s="366" t="s">
        <v>1575</v>
      </c>
      <c r="C272" s="809">
        <v>1081</v>
      </c>
      <c r="D272" s="809">
        <v>260</v>
      </c>
      <c r="E272" s="809">
        <v>350</v>
      </c>
      <c r="F272" s="809">
        <v>513</v>
      </c>
      <c r="G272" s="19"/>
    </row>
    <row r="273" spans="2:7" ht="15.5">
      <c r="B273" s="367" t="s">
        <v>782</v>
      </c>
      <c r="C273" s="712">
        <v>900</v>
      </c>
      <c r="D273" s="712">
        <v>251</v>
      </c>
      <c r="E273" s="712">
        <v>332</v>
      </c>
      <c r="F273" s="712">
        <v>486</v>
      </c>
      <c r="G273" s="19"/>
    </row>
    <row r="274" spans="2:7" ht="15.5">
      <c r="B274" s="367" t="s">
        <v>783</v>
      </c>
      <c r="C274" s="712">
        <v>181</v>
      </c>
      <c r="D274" s="712">
        <v>9</v>
      </c>
      <c r="E274" s="712">
        <v>18</v>
      </c>
      <c r="F274" s="712">
        <v>27</v>
      </c>
      <c r="G274" s="19"/>
    </row>
    <row r="275" spans="2:7" ht="15.5">
      <c r="B275" s="366" t="s">
        <v>1576</v>
      </c>
      <c r="C275" s="735">
        <v>105</v>
      </c>
      <c r="D275" s="735">
        <v>24</v>
      </c>
      <c r="E275" s="735">
        <v>37</v>
      </c>
      <c r="F275" s="735">
        <v>59</v>
      </c>
      <c r="G275" s="19"/>
    </row>
    <row r="276" spans="2:7" ht="15.5">
      <c r="B276" s="367" t="s">
        <v>782</v>
      </c>
      <c r="C276" s="712">
        <v>62</v>
      </c>
      <c r="D276" s="712">
        <v>22</v>
      </c>
      <c r="E276" s="712">
        <v>36</v>
      </c>
      <c r="F276" s="712">
        <v>56</v>
      </c>
      <c r="G276" s="19"/>
    </row>
    <row r="277" spans="2:7" ht="15.5">
      <c r="B277" s="367" t="s">
        <v>783</v>
      </c>
      <c r="C277" s="712">
        <v>43</v>
      </c>
      <c r="D277" s="712">
        <v>2</v>
      </c>
      <c r="E277" s="712">
        <v>1</v>
      </c>
      <c r="F277" s="712">
        <v>3</v>
      </c>
      <c r="G277" s="19"/>
    </row>
    <row r="278" spans="2:7" ht="15.5">
      <c r="B278" s="366" t="s">
        <v>1577</v>
      </c>
      <c r="C278" s="809">
        <v>4261</v>
      </c>
      <c r="D278" s="809">
        <v>5344</v>
      </c>
      <c r="E278" s="809">
        <v>5646</v>
      </c>
      <c r="F278" s="809">
        <v>982</v>
      </c>
      <c r="G278" s="19"/>
    </row>
    <row r="279" spans="2:7" ht="15.5">
      <c r="B279" s="367" t="s">
        <v>782</v>
      </c>
      <c r="C279" s="711">
        <v>3796</v>
      </c>
      <c r="D279" s="711">
        <v>4287</v>
      </c>
      <c r="E279" s="711">
        <v>4599</v>
      </c>
      <c r="F279" s="711">
        <v>718</v>
      </c>
      <c r="G279" s="19"/>
    </row>
    <row r="280" spans="2:7" ht="15.5">
      <c r="B280" s="367" t="s">
        <v>783</v>
      </c>
      <c r="C280" s="712">
        <v>465</v>
      </c>
      <c r="D280" s="712">
        <v>1057</v>
      </c>
      <c r="E280" s="712">
        <v>1047</v>
      </c>
      <c r="F280" s="712">
        <v>264</v>
      </c>
      <c r="G280" s="19"/>
    </row>
    <row r="281" spans="2:7" ht="15.5">
      <c r="B281" s="366" t="s">
        <v>1578</v>
      </c>
      <c r="C281" s="809">
        <v>3510</v>
      </c>
      <c r="D281" s="809">
        <v>3220</v>
      </c>
      <c r="E281" s="809">
        <v>5040</v>
      </c>
      <c r="F281" s="809">
        <v>4669</v>
      </c>
    </row>
    <row r="282" spans="2:7" ht="15.5">
      <c r="B282" s="367" t="s">
        <v>782</v>
      </c>
      <c r="C282" s="711">
        <v>3040</v>
      </c>
      <c r="D282" s="711">
        <v>2745</v>
      </c>
      <c r="E282" s="711">
        <v>4275</v>
      </c>
      <c r="F282" s="711">
        <v>4299</v>
      </c>
    </row>
    <row r="283" spans="2:7" ht="15.5">
      <c r="B283" s="368" t="s">
        <v>783</v>
      </c>
      <c r="C283" s="712">
        <v>470</v>
      </c>
      <c r="D283" s="712">
        <v>475</v>
      </c>
      <c r="E283" s="712">
        <v>765</v>
      </c>
      <c r="F283" s="712">
        <v>370</v>
      </c>
    </row>
  </sheetData>
  <mergeCells count="9">
    <mergeCell ref="B125:B126"/>
    <mergeCell ref="F125:H125"/>
    <mergeCell ref="B159:B160"/>
    <mergeCell ref="F159:H159"/>
    <mergeCell ref="B142:B143"/>
    <mergeCell ref="F142:H142"/>
    <mergeCell ref="C125:E125"/>
    <mergeCell ref="C142:E142"/>
    <mergeCell ref="C159:E159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955"/>
  <sheetViews>
    <sheetView showGridLines="0" topLeftCell="A775" workbookViewId="0">
      <selection activeCell="C752" sqref="C752"/>
    </sheetView>
  </sheetViews>
  <sheetFormatPr defaultRowHeight="14.5"/>
  <cols>
    <col min="2" max="2" width="46" customWidth="1"/>
    <col min="3" max="3" width="16.1796875" customWidth="1"/>
    <col min="4" max="4" width="16" customWidth="1"/>
    <col min="5" max="5" width="14.26953125" customWidth="1"/>
    <col min="6" max="6" width="14.81640625" customWidth="1"/>
    <col min="7" max="7" width="14.54296875" customWidth="1"/>
    <col min="8" max="8" width="14" customWidth="1"/>
    <col min="9" max="9" width="10.1796875" customWidth="1"/>
    <col min="10" max="10" width="10.26953125" customWidth="1"/>
    <col min="11" max="11" width="11" customWidth="1"/>
  </cols>
  <sheetData>
    <row r="2" spans="2:4" ht="15.5">
      <c r="B2" s="3" t="s">
        <v>229</v>
      </c>
    </row>
    <row r="4" spans="2:4" ht="17.5" customHeight="1">
      <c r="B4" s="88" t="s">
        <v>1579</v>
      </c>
    </row>
    <row r="5" spans="2:4">
      <c r="B5" s="41" t="s">
        <v>1580</v>
      </c>
      <c r="C5" s="42" t="s">
        <v>256</v>
      </c>
      <c r="D5" s="42" t="s">
        <v>257</v>
      </c>
    </row>
    <row r="6" spans="2:4" ht="15.5">
      <c r="B6" s="288" t="s">
        <v>1581</v>
      </c>
      <c r="C6" s="132">
        <v>91</v>
      </c>
      <c r="D6" s="132">
        <v>93</v>
      </c>
    </row>
    <row r="7" spans="2:4" ht="15.5">
      <c r="B7" s="288" t="s">
        <v>1582</v>
      </c>
      <c r="C7" s="132">
        <v>107</v>
      </c>
      <c r="D7" s="132">
        <v>110</v>
      </c>
    </row>
    <row r="8" spans="2:4" ht="15.5">
      <c r="B8" s="288" t="s">
        <v>1583</v>
      </c>
      <c r="C8" s="132">
        <v>149</v>
      </c>
      <c r="D8" s="132">
        <v>150</v>
      </c>
    </row>
    <row r="9" spans="2:4" ht="15.5">
      <c r="B9" s="288" t="s">
        <v>1584</v>
      </c>
      <c r="C9" s="132">
        <v>149</v>
      </c>
      <c r="D9" s="132">
        <v>150</v>
      </c>
    </row>
    <row r="10" spans="2:4" ht="15.5">
      <c r="B10" s="288" t="s">
        <v>1585</v>
      </c>
      <c r="C10" s="132">
        <v>109</v>
      </c>
      <c r="D10" s="132">
        <v>126</v>
      </c>
    </row>
    <row r="11" spans="2:4" ht="15.5">
      <c r="B11" s="288" t="s">
        <v>1586</v>
      </c>
      <c r="C11" s="132">
        <v>103</v>
      </c>
      <c r="D11" s="132">
        <v>104</v>
      </c>
    </row>
    <row r="12" spans="2:4" ht="15.5">
      <c r="B12" s="288" t="s">
        <v>1587</v>
      </c>
      <c r="C12" s="132">
        <v>102</v>
      </c>
      <c r="D12" s="132">
        <v>102</v>
      </c>
    </row>
    <row r="13" spans="2:4" ht="15.5">
      <c r="B13" s="288" t="s">
        <v>1588</v>
      </c>
      <c r="C13" s="132">
        <v>96</v>
      </c>
      <c r="D13" s="132">
        <v>99</v>
      </c>
    </row>
    <row r="14" spans="2:4" ht="15.5">
      <c r="B14" s="43" t="s">
        <v>1589</v>
      </c>
      <c r="C14" s="107">
        <v>906</v>
      </c>
      <c r="D14" s="107">
        <v>934</v>
      </c>
    </row>
    <row r="15" spans="2:4" ht="15.5">
      <c r="B15" s="288" t="s">
        <v>1590</v>
      </c>
      <c r="C15" s="132">
        <v>151</v>
      </c>
      <c r="D15" s="132">
        <v>156</v>
      </c>
    </row>
    <row r="16" spans="2:4" ht="15.5">
      <c r="B16" s="288" t="s">
        <v>1591</v>
      </c>
      <c r="C16" s="132">
        <v>115</v>
      </c>
      <c r="D16" s="132">
        <v>116</v>
      </c>
    </row>
    <row r="17" spans="2:4" ht="15.5">
      <c r="B17" s="288" t="s">
        <v>1592</v>
      </c>
      <c r="C17" s="132">
        <v>98</v>
      </c>
      <c r="D17" s="132">
        <v>100</v>
      </c>
    </row>
    <row r="18" spans="2:4" ht="15.5">
      <c r="B18" s="288" t="s">
        <v>1593</v>
      </c>
      <c r="C18" s="132">
        <v>142</v>
      </c>
      <c r="D18" s="132">
        <v>157</v>
      </c>
    </row>
    <row r="19" spans="2:4" ht="15.5">
      <c r="B19" s="288" t="s">
        <v>1594</v>
      </c>
      <c r="C19" s="132">
        <v>132</v>
      </c>
      <c r="D19" s="132">
        <v>147</v>
      </c>
    </row>
    <row r="20" spans="2:4" ht="15.5">
      <c r="B20" s="288" t="s">
        <v>1595</v>
      </c>
      <c r="C20" s="132">
        <v>142</v>
      </c>
      <c r="D20" s="132">
        <v>146</v>
      </c>
    </row>
    <row r="21" spans="2:4" ht="15.5">
      <c r="B21" s="288" t="s">
        <v>1596</v>
      </c>
      <c r="C21" s="132">
        <v>106</v>
      </c>
      <c r="D21" s="132">
        <v>112</v>
      </c>
    </row>
    <row r="22" spans="2:4" ht="15.5">
      <c r="B22" s="43" t="s">
        <v>1597</v>
      </c>
      <c r="C22" s="107">
        <v>886</v>
      </c>
      <c r="D22" s="107">
        <v>934</v>
      </c>
    </row>
    <row r="23" spans="2:4" ht="15.5">
      <c r="B23" s="288" t="s">
        <v>1598</v>
      </c>
      <c r="C23" s="132">
        <v>132</v>
      </c>
      <c r="D23" s="132">
        <v>152</v>
      </c>
    </row>
    <row r="24" spans="2:4" ht="15.5">
      <c r="B24" s="288" t="s">
        <v>1599</v>
      </c>
      <c r="C24" s="132">
        <v>175</v>
      </c>
      <c r="D24" s="132">
        <v>178</v>
      </c>
    </row>
    <row r="25" spans="2:4" ht="15.5">
      <c r="B25" s="288" t="s">
        <v>1600</v>
      </c>
      <c r="C25" s="132">
        <v>62</v>
      </c>
      <c r="D25" s="132">
        <v>106</v>
      </c>
    </row>
    <row r="26" spans="2:4" ht="15.5">
      <c r="B26" s="288" t="s">
        <v>1601</v>
      </c>
      <c r="C26" s="132">
        <v>114</v>
      </c>
      <c r="D26" s="132">
        <v>117</v>
      </c>
    </row>
    <row r="27" spans="2:4" ht="15.5">
      <c r="B27" s="288" t="s">
        <v>1602</v>
      </c>
      <c r="C27" s="132">
        <v>96</v>
      </c>
      <c r="D27" s="132">
        <v>102</v>
      </c>
    </row>
    <row r="28" spans="2:4" ht="15.5">
      <c r="B28" s="288" t="s">
        <v>1603</v>
      </c>
      <c r="C28" s="132">
        <v>211</v>
      </c>
      <c r="D28" s="132">
        <v>250</v>
      </c>
    </row>
    <row r="29" spans="2:4" ht="15.5">
      <c r="B29" s="288" t="s">
        <v>1604</v>
      </c>
      <c r="C29" s="132">
        <v>101</v>
      </c>
      <c r="D29" s="132">
        <v>108</v>
      </c>
    </row>
    <row r="30" spans="2:4" ht="15.5">
      <c r="B30" s="43" t="s">
        <v>1605</v>
      </c>
      <c r="C30" s="107">
        <v>891</v>
      </c>
      <c r="D30" s="107">
        <v>1013</v>
      </c>
    </row>
    <row r="31" spans="2:4" ht="15.5">
      <c r="B31" s="288" t="s">
        <v>1606</v>
      </c>
      <c r="C31" s="132">
        <v>124</v>
      </c>
      <c r="D31" s="132">
        <v>126</v>
      </c>
    </row>
    <row r="32" spans="2:4" ht="15.5">
      <c r="B32" s="288" t="s">
        <v>1607</v>
      </c>
      <c r="C32" s="132">
        <v>131</v>
      </c>
      <c r="D32" s="132">
        <v>133</v>
      </c>
    </row>
    <row r="33" spans="2:4" ht="15.5">
      <c r="B33" s="288" t="s">
        <v>1608</v>
      </c>
      <c r="C33" s="132">
        <v>131</v>
      </c>
      <c r="D33" s="132">
        <v>133</v>
      </c>
    </row>
    <row r="34" spans="2:4" ht="15.5">
      <c r="B34" s="288" t="s">
        <v>1609</v>
      </c>
      <c r="C34" s="132">
        <v>142</v>
      </c>
      <c r="D34" s="132">
        <v>154</v>
      </c>
    </row>
    <row r="35" spans="2:4" ht="15.5">
      <c r="B35" s="288" t="s">
        <v>1610</v>
      </c>
      <c r="C35" s="132">
        <v>109</v>
      </c>
      <c r="D35" s="132">
        <v>112</v>
      </c>
    </row>
    <row r="36" spans="2:4" ht="15.5">
      <c r="B36" s="43" t="s">
        <v>1611</v>
      </c>
      <c r="C36" s="107">
        <v>637</v>
      </c>
      <c r="D36" s="107">
        <v>658</v>
      </c>
    </row>
    <row r="37" spans="2:4" ht="15.5">
      <c r="B37" s="288" t="s">
        <v>1612</v>
      </c>
      <c r="C37" s="132">
        <v>248</v>
      </c>
      <c r="D37" s="132">
        <v>261</v>
      </c>
    </row>
    <row r="38" spans="2:4" ht="15.5">
      <c r="B38" s="288" t="s">
        <v>1613</v>
      </c>
      <c r="C38" s="132">
        <v>143</v>
      </c>
      <c r="D38" s="132">
        <v>148</v>
      </c>
    </row>
    <row r="39" spans="2:4" ht="15.5">
      <c r="B39" s="288" t="s">
        <v>1614</v>
      </c>
      <c r="C39" s="132">
        <v>97</v>
      </c>
      <c r="D39" s="132">
        <v>103</v>
      </c>
    </row>
    <row r="40" spans="2:4" ht="15.5">
      <c r="B40" s="43" t="s">
        <v>1615</v>
      </c>
      <c r="C40" s="289">
        <v>488</v>
      </c>
      <c r="D40" s="289">
        <v>512</v>
      </c>
    </row>
    <row r="41" spans="2:4" ht="15.5">
      <c r="B41" s="291" t="s">
        <v>1534</v>
      </c>
      <c r="C41" s="292">
        <v>3808</v>
      </c>
      <c r="D41" s="292">
        <v>4051</v>
      </c>
    </row>
    <row r="42" spans="2:4" ht="13.5" customHeight="1">
      <c r="B42" s="81" t="s">
        <v>265</v>
      </c>
    </row>
    <row r="43" spans="2:4">
      <c r="B43" s="2" t="s">
        <v>314</v>
      </c>
    </row>
    <row r="44" spans="2:4" ht="17.5" customHeight="1">
      <c r="B44" s="268" t="s">
        <v>1616</v>
      </c>
    </row>
    <row r="45" spans="2:4" ht="15.5">
      <c r="B45" s="95" t="s">
        <v>1580</v>
      </c>
      <c r="C45" s="71" t="s">
        <v>256</v>
      </c>
      <c r="D45" s="71" t="s">
        <v>257</v>
      </c>
    </row>
    <row r="46" spans="2:4" ht="15.5">
      <c r="B46" s="113" t="s">
        <v>1581</v>
      </c>
      <c r="C46" s="32">
        <v>95</v>
      </c>
      <c r="D46" s="32">
        <v>95</v>
      </c>
    </row>
    <row r="47" spans="2:4" ht="15.5">
      <c r="B47" s="113" t="s">
        <v>1582</v>
      </c>
      <c r="C47" s="32">
        <v>111</v>
      </c>
      <c r="D47" s="32">
        <v>112</v>
      </c>
    </row>
    <row r="48" spans="2:4" ht="15.5">
      <c r="B48" s="113" t="s">
        <v>1583</v>
      </c>
      <c r="C48" s="32">
        <v>142</v>
      </c>
      <c r="D48" s="32">
        <v>144</v>
      </c>
    </row>
    <row r="49" spans="2:4" ht="15.5">
      <c r="B49" s="113" t="s">
        <v>1584</v>
      </c>
      <c r="C49" s="32">
        <v>138</v>
      </c>
      <c r="D49" s="32">
        <v>140</v>
      </c>
    </row>
    <row r="50" spans="2:4" ht="15.5">
      <c r="B50" s="113" t="s">
        <v>1585</v>
      </c>
      <c r="C50" s="32">
        <v>134</v>
      </c>
      <c r="D50" s="32">
        <v>135</v>
      </c>
    </row>
    <row r="51" spans="2:4" ht="15.5">
      <c r="B51" s="113" t="s">
        <v>1586</v>
      </c>
      <c r="C51" s="32">
        <v>99</v>
      </c>
      <c r="D51" s="32">
        <v>100</v>
      </c>
    </row>
    <row r="52" spans="2:4" ht="15.5">
      <c r="B52" s="113" t="s">
        <v>1587</v>
      </c>
      <c r="C52" s="32">
        <v>102</v>
      </c>
      <c r="D52" s="32">
        <v>102</v>
      </c>
    </row>
    <row r="53" spans="2:4" ht="15.5">
      <c r="B53" s="113" t="s">
        <v>1588</v>
      </c>
      <c r="C53" s="32">
        <v>97</v>
      </c>
      <c r="D53" s="32">
        <v>97</v>
      </c>
    </row>
    <row r="54" spans="2:4" ht="15.5">
      <c r="B54" s="96" t="s">
        <v>1589</v>
      </c>
      <c r="C54" s="107">
        <v>918</v>
      </c>
      <c r="D54" s="107">
        <v>925</v>
      </c>
    </row>
    <row r="55" spans="2:4" ht="15.5">
      <c r="B55" s="113" t="s">
        <v>1590</v>
      </c>
      <c r="C55" s="32">
        <v>153</v>
      </c>
      <c r="D55" s="32">
        <v>156</v>
      </c>
    </row>
    <row r="56" spans="2:4" ht="15.5">
      <c r="B56" s="113" t="s">
        <v>1591</v>
      </c>
      <c r="C56" s="32">
        <v>116</v>
      </c>
      <c r="D56" s="32">
        <v>116</v>
      </c>
    </row>
    <row r="57" spans="2:4" ht="15.5">
      <c r="B57" s="113" t="s">
        <v>1592</v>
      </c>
      <c r="C57" s="32">
        <v>100</v>
      </c>
      <c r="D57" s="32">
        <v>102</v>
      </c>
    </row>
    <row r="58" spans="2:4" ht="15.5">
      <c r="B58" s="113" t="s">
        <v>1593</v>
      </c>
      <c r="C58" s="32">
        <v>160</v>
      </c>
      <c r="D58" s="32">
        <v>162</v>
      </c>
    </row>
    <row r="59" spans="2:4" ht="15.5">
      <c r="B59" s="113" t="s">
        <v>1594</v>
      </c>
      <c r="C59" s="32">
        <v>123</v>
      </c>
      <c r="D59" s="32">
        <v>128</v>
      </c>
    </row>
    <row r="60" spans="2:4" ht="15.5">
      <c r="B60" s="113" t="s">
        <v>1595</v>
      </c>
      <c r="C60" s="32">
        <v>148</v>
      </c>
      <c r="D60" s="32">
        <v>149</v>
      </c>
    </row>
    <row r="61" spans="2:4" ht="15.5">
      <c r="B61" s="113" t="s">
        <v>1596</v>
      </c>
      <c r="C61" s="32">
        <v>112</v>
      </c>
      <c r="D61" s="32">
        <v>113</v>
      </c>
    </row>
    <row r="62" spans="2:4" ht="15.5">
      <c r="B62" s="96" t="s">
        <v>1597</v>
      </c>
      <c r="C62" s="107">
        <v>912</v>
      </c>
      <c r="D62" s="107">
        <v>926</v>
      </c>
    </row>
    <row r="63" spans="2:4" ht="15.5">
      <c r="B63" s="113" t="s">
        <v>1598</v>
      </c>
      <c r="C63" s="32">
        <v>153</v>
      </c>
      <c r="D63" s="32">
        <v>157</v>
      </c>
    </row>
    <row r="64" spans="2:4" ht="15.5">
      <c r="B64" s="113" t="s">
        <v>1599</v>
      </c>
      <c r="C64" s="32">
        <v>147</v>
      </c>
      <c r="D64" s="32">
        <v>147</v>
      </c>
    </row>
    <row r="65" spans="2:4" ht="15.5">
      <c r="B65" s="113" t="s">
        <v>1600</v>
      </c>
      <c r="C65" s="32">
        <v>130</v>
      </c>
      <c r="D65" s="32">
        <v>142</v>
      </c>
    </row>
    <row r="66" spans="2:4" ht="15.5">
      <c r="B66" s="113" t="s">
        <v>1601</v>
      </c>
      <c r="C66" s="32">
        <v>121</v>
      </c>
      <c r="D66" s="32">
        <v>122</v>
      </c>
    </row>
    <row r="67" spans="2:4" ht="15.5">
      <c r="B67" s="113" t="s">
        <v>1602</v>
      </c>
      <c r="C67" s="32">
        <v>102</v>
      </c>
      <c r="D67" s="32">
        <v>103</v>
      </c>
    </row>
    <row r="68" spans="2:4" ht="15.5">
      <c r="B68" s="113" t="s">
        <v>1603</v>
      </c>
      <c r="C68" s="32">
        <v>249</v>
      </c>
      <c r="D68" s="32">
        <v>252</v>
      </c>
    </row>
    <row r="69" spans="2:4" ht="15.5">
      <c r="B69" s="113" t="s">
        <v>1604</v>
      </c>
      <c r="C69" s="32">
        <v>107</v>
      </c>
      <c r="D69" s="32">
        <v>111</v>
      </c>
    </row>
    <row r="70" spans="2:4" ht="15.5">
      <c r="B70" s="96" t="s">
        <v>1605</v>
      </c>
      <c r="C70" s="97">
        <v>1009</v>
      </c>
      <c r="D70" s="524">
        <v>1034</v>
      </c>
    </row>
    <row r="71" spans="2:4" ht="15.5">
      <c r="B71" s="293" t="s">
        <v>1606</v>
      </c>
      <c r="C71" s="32">
        <v>124</v>
      </c>
      <c r="D71" s="32">
        <v>124</v>
      </c>
    </row>
    <row r="72" spans="2:4" ht="15.5">
      <c r="B72" s="113" t="s">
        <v>1607</v>
      </c>
      <c r="C72" s="32">
        <v>131</v>
      </c>
      <c r="D72" s="32">
        <v>132</v>
      </c>
    </row>
    <row r="73" spans="2:4" ht="15.5">
      <c r="B73" s="113" t="s">
        <v>1608</v>
      </c>
      <c r="C73" s="32">
        <v>129</v>
      </c>
      <c r="D73" s="32">
        <v>130</v>
      </c>
    </row>
    <row r="74" spans="2:4" ht="15.5">
      <c r="B74" s="113" t="s">
        <v>1609</v>
      </c>
      <c r="C74" s="32">
        <v>124</v>
      </c>
      <c r="D74" s="32">
        <v>133</v>
      </c>
    </row>
    <row r="75" spans="2:4" ht="15.5">
      <c r="B75" s="113" t="s">
        <v>1610</v>
      </c>
      <c r="C75" s="32">
        <v>107</v>
      </c>
      <c r="D75" s="32">
        <v>110</v>
      </c>
    </row>
    <row r="76" spans="2:4" ht="15.5">
      <c r="B76" s="96" t="s">
        <v>1611</v>
      </c>
      <c r="C76" s="107">
        <v>615</v>
      </c>
      <c r="D76" s="107">
        <v>629</v>
      </c>
    </row>
    <row r="77" spans="2:4" ht="15.5">
      <c r="B77" s="113" t="s">
        <v>1612</v>
      </c>
      <c r="C77" s="32">
        <v>204</v>
      </c>
      <c r="D77" s="32">
        <v>227</v>
      </c>
    </row>
    <row r="78" spans="2:4" ht="15.5">
      <c r="B78" s="113" t="s">
        <v>1613</v>
      </c>
      <c r="C78" s="32">
        <v>111</v>
      </c>
      <c r="D78" s="32">
        <v>124</v>
      </c>
    </row>
    <row r="79" spans="2:4" ht="15.5">
      <c r="B79" s="113" t="s">
        <v>1614</v>
      </c>
      <c r="C79" s="32">
        <v>62</v>
      </c>
      <c r="D79" s="32">
        <v>67</v>
      </c>
    </row>
    <row r="80" spans="2:4" ht="15.5">
      <c r="B80" s="96" t="s">
        <v>1617</v>
      </c>
      <c r="C80" s="107">
        <v>377</v>
      </c>
      <c r="D80" s="107">
        <v>418</v>
      </c>
    </row>
    <row r="81" spans="2:4" ht="15.5">
      <c r="B81" s="95" t="s">
        <v>1534</v>
      </c>
      <c r="C81" s="290">
        <v>3831</v>
      </c>
      <c r="D81" s="290">
        <v>3932</v>
      </c>
    </row>
    <row r="82" spans="2:4" ht="15.75" customHeight="1">
      <c r="B82" s="81" t="s">
        <v>265</v>
      </c>
    </row>
    <row r="83" spans="2:4">
      <c r="B83" s="24" t="s">
        <v>314</v>
      </c>
    </row>
    <row r="84" spans="2:4" ht="16.5" customHeight="1">
      <c r="B84" s="88" t="s">
        <v>1618</v>
      </c>
    </row>
    <row r="85" spans="2:4" ht="15.5">
      <c r="B85" s="95" t="s">
        <v>1580</v>
      </c>
      <c r="C85" s="71" t="s">
        <v>256</v>
      </c>
      <c r="D85" s="71" t="s">
        <v>257</v>
      </c>
    </row>
    <row r="86" spans="2:4" ht="15.5">
      <c r="B86" s="113" t="s">
        <v>1581</v>
      </c>
      <c r="C86" s="32">
        <v>53</v>
      </c>
      <c r="D86" s="33">
        <v>55</v>
      </c>
    </row>
    <row r="87" spans="2:4" ht="15.5">
      <c r="B87" s="113" t="s">
        <v>1582</v>
      </c>
      <c r="C87" s="32">
        <v>51</v>
      </c>
      <c r="D87" s="33">
        <v>51</v>
      </c>
    </row>
    <row r="88" spans="2:4" ht="15.5">
      <c r="B88" s="113" t="s">
        <v>1583</v>
      </c>
      <c r="C88" s="32">
        <v>70</v>
      </c>
      <c r="D88" s="33">
        <v>70</v>
      </c>
    </row>
    <row r="89" spans="2:4" ht="15.5">
      <c r="B89" s="113" t="s">
        <v>1584</v>
      </c>
      <c r="C89" s="32">
        <v>65</v>
      </c>
      <c r="D89" s="33">
        <v>65</v>
      </c>
    </row>
    <row r="90" spans="2:4" ht="15.5">
      <c r="B90" s="113" t="s">
        <v>1585</v>
      </c>
      <c r="C90" s="32">
        <v>60</v>
      </c>
      <c r="D90" s="33">
        <v>60</v>
      </c>
    </row>
    <row r="91" spans="2:4" ht="15.5">
      <c r="B91" s="113" t="s">
        <v>1586</v>
      </c>
      <c r="C91" s="32">
        <v>60</v>
      </c>
      <c r="D91" s="33">
        <v>60</v>
      </c>
    </row>
    <row r="92" spans="2:4" ht="15.5">
      <c r="B92" s="113" t="s">
        <v>1587</v>
      </c>
      <c r="C92" s="32">
        <v>51</v>
      </c>
      <c r="D92" s="33">
        <v>53</v>
      </c>
    </row>
    <row r="93" spans="2:4" ht="15.5">
      <c r="B93" s="113" t="s">
        <v>1588</v>
      </c>
      <c r="C93" s="32">
        <v>57</v>
      </c>
      <c r="D93" s="33">
        <v>57</v>
      </c>
    </row>
    <row r="94" spans="2:4" ht="15.5">
      <c r="B94" s="96" t="s">
        <v>1589</v>
      </c>
      <c r="C94" s="107">
        <v>467</v>
      </c>
      <c r="D94" s="755">
        <v>471</v>
      </c>
    </row>
    <row r="95" spans="2:4" ht="15.5">
      <c r="B95" s="113" t="s">
        <v>1590</v>
      </c>
      <c r="C95" s="32">
        <v>93</v>
      </c>
      <c r="D95" s="33">
        <v>95</v>
      </c>
    </row>
    <row r="96" spans="2:4" ht="15.5">
      <c r="B96" s="113" t="s">
        <v>1591</v>
      </c>
      <c r="C96" s="32">
        <v>53</v>
      </c>
      <c r="D96" s="33">
        <v>53</v>
      </c>
    </row>
    <row r="97" spans="2:4" ht="15.5">
      <c r="B97" s="113" t="s">
        <v>1592</v>
      </c>
      <c r="C97" s="32">
        <v>45</v>
      </c>
      <c r="D97" s="33">
        <v>45</v>
      </c>
    </row>
    <row r="98" spans="2:4" ht="15.5">
      <c r="B98" s="113" t="s">
        <v>1593</v>
      </c>
      <c r="C98" s="32">
        <v>78</v>
      </c>
      <c r="D98" s="33">
        <v>80</v>
      </c>
    </row>
    <row r="99" spans="2:4" ht="15.5">
      <c r="B99" s="113" t="s">
        <v>1594</v>
      </c>
      <c r="C99" s="32">
        <v>64</v>
      </c>
      <c r="D99" s="33">
        <v>65</v>
      </c>
    </row>
    <row r="100" spans="2:4" ht="15.5">
      <c r="B100" s="113" t="s">
        <v>1595</v>
      </c>
      <c r="C100" s="32">
        <v>83</v>
      </c>
      <c r="D100" s="33">
        <v>85</v>
      </c>
    </row>
    <row r="101" spans="2:4" ht="15.5">
      <c r="B101" s="113" t="s">
        <v>1596</v>
      </c>
      <c r="C101" s="32">
        <v>64</v>
      </c>
      <c r="D101" s="33">
        <v>64</v>
      </c>
    </row>
    <row r="102" spans="2:4" ht="15.5">
      <c r="B102" s="96" t="s">
        <v>1597</v>
      </c>
      <c r="C102" s="107">
        <v>480</v>
      </c>
      <c r="D102" s="755">
        <v>487</v>
      </c>
    </row>
    <row r="103" spans="2:4" ht="15.5">
      <c r="B103" s="113" t="s">
        <v>1598</v>
      </c>
      <c r="C103" s="32">
        <v>73</v>
      </c>
      <c r="D103" s="33">
        <v>76</v>
      </c>
    </row>
    <row r="104" spans="2:4" ht="15.5">
      <c r="B104" s="113" t="s">
        <v>1599</v>
      </c>
      <c r="C104" s="32">
        <v>99</v>
      </c>
      <c r="D104" s="33">
        <v>100</v>
      </c>
    </row>
    <row r="105" spans="2:4" ht="15.5">
      <c r="B105" s="113" t="s">
        <v>1600</v>
      </c>
      <c r="C105" s="32">
        <v>56</v>
      </c>
      <c r="D105" s="33">
        <v>56</v>
      </c>
    </row>
    <row r="106" spans="2:4" ht="15.5">
      <c r="B106" s="113" t="s">
        <v>1601</v>
      </c>
      <c r="C106" s="32">
        <v>64</v>
      </c>
      <c r="D106" s="33">
        <v>64</v>
      </c>
    </row>
    <row r="107" spans="2:4" ht="15.5">
      <c r="B107" s="113" t="s">
        <v>1602</v>
      </c>
      <c r="C107" s="32">
        <v>62</v>
      </c>
      <c r="D107" s="33">
        <v>62</v>
      </c>
    </row>
    <row r="108" spans="2:4" ht="15.5">
      <c r="B108" s="113" t="s">
        <v>1603</v>
      </c>
      <c r="C108" s="32">
        <v>97</v>
      </c>
      <c r="D108" s="33">
        <v>97</v>
      </c>
    </row>
    <row r="109" spans="2:4" ht="15.5">
      <c r="B109" s="113" t="s">
        <v>1604</v>
      </c>
      <c r="C109" s="32">
        <v>72</v>
      </c>
      <c r="D109" s="33">
        <v>72</v>
      </c>
    </row>
    <row r="110" spans="2:4" ht="15.5">
      <c r="B110" s="96" t="s">
        <v>1605</v>
      </c>
      <c r="C110" s="107">
        <v>523</v>
      </c>
      <c r="D110" s="755">
        <v>527</v>
      </c>
    </row>
    <row r="111" spans="2:4" ht="15.5">
      <c r="B111" s="113" t="s">
        <v>1606</v>
      </c>
      <c r="C111" s="32">
        <v>54</v>
      </c>
      <c r="D111" s="33">
        <v>54</v>
      </c>
    </row>
    <row r="112" spans="2:4" ht="15.5">
      <c r="B112" s="113" t="s">
        <v>1607</v>
      </c>
      <c r="C112" s="32">
        <v>64</v>
      </c>
      <c r="D112" s="33">
        <v>64</v>
      </c>
    </row>
    <row r="113" spans="2:4" ht="15.5">
      <c r="B113" s="113" t="s">
        <v>1608</v>
      </c>
      <c r="C113" s="32">
        <v>87</v>
      </c>
      <c r="D113" s="33">
        <v>88</v>
      </c>
    </row>
    <row r="114" spans="2:4" ht="15.5">
      <c r="B114" s="113" t="s">
        <v>1609</v>
      </c>
      <c r="C114" s="32">
        <v>65</v>
      </c>
      <c r="D114" s="33">
        <v>66</v>
      </c>
    </row>
    <row r="115" spans="2:4" ht="15.5">
      <c r="B115" s="113" t="s">
        <v>1610</v>
      </c>
      <c r="C115" s="32">
        <v>81</v>
      </c>
      <c r="D115" s="33">
        <v>83</v>
      </c>
    </row>
    <row r="116" spans="2:4" ht="15.5">
      <c r="B116" s="96" t="s">
        <v>1611</v>
      </c>
      <c r="C116" s="107">
        <v>351</v>
      </c>
      <c r="D116" s="755">
        <v>355</v>
      </c>
    </row>
    <row r="117" spans="2:4" ht="15.5">
      <c r="B117" s="113" t="s">
        <v>1612</v>
      </c>
      <c r="C117" s="32">
        <v>65</v>
      </c>
      <c r="D117" s="33">
        <v>65</v>
      </c>
    </row>
    <row r="118" spans="2:4" ht="15.5">
      <c r="B118" s="113" t="s">
        <v>1613</v>
      </c>
      <c r="C118" s="32">
        <v>39</v>
      </c>
      <c r="D118" s="33">
        <v>40</v>
      </c>
    </row>
    <row r="119" spans="2:4" ht="15.5">
      <c r="B119" s="113" t="s">
        <v>1614</v>
      </c>
      <c r="C119" s="32">
        <v>30</v>
      </c>
      <c r="D119" s="33">
        <v>32</v>
      </c>
    </row>
    <row r="120" spans="2:4" ht="15.5">
      <c r="B120" s="96" t="s">
        <v>1617</v>
      </c>
      <c r="C120" s="107">
        <v>134</v>
      </c>
      <c r="D120" s="755">
        <v>137</v>
      </c>
    </row>
    <row r="121" spans="2:4" ht="15.5">
      <c r="B121" s="95" t="s">
        <v>1534</v>
      </c>
      <c r="C121" s="290">
        <v>1955</v>
      </c>
      <c r="D121" s="750">
        <v>1977</v>
      </c>
    </row>
    <row r="122" spans="2:4" ht="14.25" customHeight="1">
      <c r="B122" s="81" t="s">
        <v>265</v>
      </c>
    </row>
    <row r="123" spans="2:4">
      <c r="B123" s="24" t="s">
        <v>314</v>
      </c>
    </row>
    <row r="124" spans="2:4" ht="16" customHeight="1">
      <c r="B124" s="88" t="s">
        <v>1619</v>
      </c>
    </row>
    <row r="125" spans="2:4" ht="15.5">
      <c r="B125" s="95" t="s">
        <v>1580</v>
      </c>
      <c r="C125" s="71" t="s">
        <v>256</v>
      </c>
      <c r="D125" s="71" t="s">
        <v>257</v>
      </c>
    </row>
    <row r="126" spans="2:4" ht="15.5">
      <c r="B126" s="113" t="s">
        <v>1581</v>
      </c>
      <c r="C126" s="132">
        <v>14</v>
      </c>
      <c r="D126" s="33">
        <v>12</v>
      </c>
    </row>
    <row r="127" spans="2:4" ht="15.5">
      <c r="B127" s="113" t="s">
        <v>1582</v>
      </c>
      <c r="C127" s="132">
        <v>12</v>
      </c>
      <c r="D127" s="33">
        <v>16</v>
      </c>
    </row>
    <row r="128" spans="2:4" ht="15.5">
      <c r="B128" s="113" t="s">
        <v>1583</v>
      </c>
      <c r="C128" s="132">
        <v>15</v>
      </c>
      <c r="D128" s="33">
        <v>13</v>
      </c>
    </row>
    <row r="129" spans="2:4" ht="15.5">
      <c r="B129" s="113" t="s">
        <v>1584</v>
      </c>
      <c r="C129" s="132">
        <v>20</v>
      </c>
      <c r="D129" s="33">
        <v>22</v>
      </c>
    </row>
    <row r="130" spans="2:4" ht="15.5">
      <c r="B130" s="113" t="s">
        <v>1585</v>
      </c>
      <c r="C130" s="132">
        <v>10</v>
      </c>
      <c r="D130" s="33">
        <v>12</v>
      </c>
    </row>
    <row r="131" spans="2:4" ht="15.5">
      <c r="B131" s="113" t="s">
        <v>1586</v>
      </c>
      <c r="C131" s="132">
        <v>13</v>
      </c>
      <c r="D131" s="33">
        <v>15</v>
      </c>
    </row>
    <row r="132" spans="2:4" ht="15.5">
      <c r="B132" s="113" t="s">
        <v>1587</v>
      </c>
      <c r="C132" s="132">
        <v>10</v>
      </c>
      <c r="D132" s="33">
        <v>11</v>
      </c>
    </row>
    <row r="133" spans="2:4" ht="15.5">
      <c r="B133" s="113" t="s">
        <v>1588</v>
      </c>
      <c r="C133" s="132">
        <v>10</v>
      </c>
      <c r="D133" s="33">
        <v>17</v>
      </c>
    </row>
    <row r="134" spans="2:4" ht="15.5">
      <c r="B134" s="96" t="s">
        <v>1589</v>
      </c>
      <c r="C134" s="107">
        <v>104</v>
      </c>
      <c r="D134" s="755">
        <v>118</v>
      </c>
    </row>
    <row r="135" spans="2:4" ht="15.5">
      <c r="B135" s="113" t="s">
        <v>1590</v>
      </c>
      <c r="C135" s="132">
        <v>18</v>
      </c>
      <c r="D135" s="33">
        <v>19</v>
      </c>
    </row>
    <row r="136" spans="2:4" ht="15.5">
      <c r="B136" s="113" t="s">
        <v>1591</v>
      </c>
      <c r="C136" s="132">
        <v>11</v>
      </c>
      <c r="D136" s="33">
        <v>13</v>
      </c>
    </row>
    <row r="137" spans="2:4" ht="15.5">
      <c r="B137" s="113" t="s">
        <v>1592</v>
      </c>
      <c r="C137" s="132">
        <v>12</v>
      </c>
      <c r="D137" s="33">
        <v>13</v>
      </c>
    </row>
    <row r="138" spans="2:4" ht="15.5">
      <c r="B138" s="113" t="s">
        <v>1593</v>
      </c>
      <c r="C138" s="132">
        <v>18</v>
      </c>
      <c r="D138" s="33">
        <v>15</v>
      </c>
    </row>
    <row r="139" spans="2:4" ht="15.5">
      <c r="B139" s="113" t="s">
        <v>1594</v>
      </c>
      <c r="C139" s="132">
        <v>14</v>
      </c>
      <c r="D139" s="33">
        <v>18</v>
      </c>
    </row>
    <row r="140" spans="2:4" ht="15.5">
      <c r="B140" s="113" t="s">
        <v>1595</v>
      </c>
      <c r="C140" s="132">
        <v>18</v>
      </c>
      <c r="D140" s="33">
        <v>19</v>
      </c>
    </row>
    <row r="141" spans="2:4" ht="15.5">
      <c r="B141" s="113" t="s">
        <v>1596</v>
      </c>
      <c r="C141" s="132">
        <v>11</v>
      </c>
      <c r="D141" s="33">
        <v>12</v>
      </c>
    </row>
    <row r="142" spans="2:4" ht="15.5">
      <c r="B142" s="96" t="s">
        <v>1597</v>
      </c>
      <c r="C142" s="107">
        <v>102</v>
      </c>
      <c r="D142" s="755">
        <v>109</v>
      </c>
    </row>
    <row r="143" spans="2:4" ht="15.5">
      <c r="B143" s="113" t="s">
        <v>1598</v>
      </c>
      <c r="C143" s="132">
        <v>14</v>
      </c>
      <c r="D143" s="33">
        <v>15</v>
      </c>
    </row>
    <row r="144" spans="2:4" ht="15.5">
      <c r="B144" s="113" t="s">
        <v>1599</v>
      </c>
      <c r="C144" s="132">
        <v>14</v>
      </c>
      <c r="D144" s="33">
        <v>17</v>
      </c>
    </row>
    <row r="145" spans="2:4" ht="15.5">
      <c r="B145" s="113" t="s">
        <v>1600</v>
      </c>
      <c r="C145" s="132">
        <v>11</v>
      </c>
      <c r="D145" s="33">
        <v>13</v>
      </c>
    </row>
    <row r="146" spans="2:4" ht="15.5">
      <c r="B146" s="113" t="s">
        <v>1601</v>
      </c>
      <c r="C146" s="132">
        <v>10</v>
      </c>
      <c r="D146" s="33">
        <v>12</v>
      </c>
    </row>
    <row r="147" spans="2:4" ht="15.5">
      <c r="B147" s="113" t="s">
        <v>1602</v>
      </c>
      <c r="C147" s="132">
        <v>15</v>
      </c>
      <c r="D147" s="33">
        <v>18</v>
      </c>
    </row>
    <row r="148" spans="2:4" ht="15.5">
      <c r="B148" s="113" t="s">
        <v>1603</v>
      </c>
      <c r="C148" s="132">
        <v>15</v>
      </c>
      <c r="D148" s="33">
        <v>14</v>
      </c>
    </row>
    <row r="149" spans="2:4" ht="15.5">
      <c r="B149" s="113" t="s">
        <v>1604</v>
      </c>
      <c r="C149" s="132">
        <v>12</v>
      </c>
      <c r="D149" s="33">
        <v>16</v>
      </c>
    </row>
    <row r="150" spans="2:4" ht="15.5">
      <c r="B150" s="96" t="s">
        <v>1605</v>
      </c>
      <c r="C150" s="107">
        <v>91</v>
      </c>
      <c r="D150" s="755">
        <v>105</v>
      </c>
    </row>
    <row r="151" spans="2:4" ht="15.5">
      <c r="B151" s="113" t="s">
        <v>1606</v>
      </c>
      <c r="C151" s="132">
        <v>23</v>
      </c>
      <c r="D151" s="33">
        <v>13</v>
      </c>
    </row>
    <row r="152" spans="2:4" ht="15.5">
      <c r="B152" s="113" t="s">
        <v>1607</v>
      </c>
      <c r="C152" s="132">
        <v>13</v>
      </c>
      <c r="D152" s="33">
        <v>15</v>
      </c>
    </row>
    <row r="153" spans="2:4" ht="15.5">
      <c r="B153" s="113" t="s">
        <v>1608</v>
      </c>
      <c r="C153" s="132">
        <v>17</v>
      </c>
      <c r="D153" s="33">
        <v>22</v>
      </c>
    </row>
    <row r="154" spans="2:4" ht="15.5">
      <c r="B154" s="113" t="s">
        <v>1609</v>
      </c>
      <c r="C154" s="132">
        <v>12</v>
      </c>
      <c r="D154" s="33">
        <v>13</v>
      </c>
    </row>
    <row r="155" spans="2:4" ht="15.5">
      <c r="B155" s="113" t="s">
        <v>1610</v>
      </c>
      <c r="C155" s="132">
        <v>12</v>
      </c>
      <c r="D155" s="33">
        <v>18</v>
      </c>
    </row>
    <row r="156" spans="2:4" ht="15.5">
      <c r="B156" s="96" t="s">
        <v>1611</v>
      </c>
      <c r="C156" s="107">
        <v>77</v>
      </c>
      <c r="D156" s="755">
        <v>81</v>
      </c>
    </row>
    <row r="157" spans="2:4" ht="15.5">
      <c r="B157" s="113" t="s">
        <v>1612</v>
      </c>
      <c r="C157" s="132">
        <v>15</v>
      </c>
      <c r="D157" s="33">
        <v>19</v>
      </c>
    </row>
    <row r="158" spans="2:4" ht="15.5">
      <c r="B158" s="113" t="s">
        <v>1613</v>
      </c>
      <c r="C158" s="132">
        <v>13</v>
      </c>
      <c r="D158" s="33">
        <v>22</v>
      </c>
    </row>
    <row r="159" spans="2:4" ht="15.5">
      <c r="B159" s="113" t="s">
        <v>1614</v>
      </c>
      <c r="C159" s="132">
        <v>20</v>
      </c>
      <c r="D159" s="33">
        <v>16</v>
      </c>
    </row>
    <row r="160" spans="2:4" ht="15.5">
      <c r="B160" s="96" t="s">
        <v>1615</v>
      </c>
      <c r="C160" s="107">
        <v>48</v>
      </c>
      <c r="D160" s="755">
        <v>57</v>
      </c>
    </row>
    <row r="161" spans="2:4" ht="15.5">
      <c r="B161" s="95" t="s">
        <v>1534</v>
      </c>
      <c r="C161" s="71">
        <v>422</v>
      </c>
      <c r="D161" s="757">
        <v>470</v>
      </c>
    </row>
    <row r="162" spans="2:4" ht="15.75" customHeight="1">
      <c r="B162" s="81" t="s">
        <v>265</v>
      </c>
    </row>
    <row r="163" spans="2:4">
      <c r="B163" s="24" t="s">
        <v>314</v>
      </c>
    </row>
    <row r="164" spans="2:4" ht="30" customHeight="1">
      <c r="B164" s="88" t="s">
        <v>1620</v>
      </c>
    </row>
    <row r="165" spans="2:4" ht="15.5">
      <c r="B165" s="95" t="s">
        <v>1621</v>
      </c>
      <c r="C165" s="71" t="s">
        <v>256</v>
      </c>
      <c r="D165" s="71" t="s">
        <v>257</v>
      </c>
    </row>
    <row r="166" spans="2:4" ht="15.5">
      <c r="B166" s="113" t="s">
        <v>1581</v>
      </c>
      <c r="C166" s="32">
        <v>1</v>
      </c>
      <c r="D166" s="758">
        <v>1</v>
      </c>
    </row>
    <row r="167" spans="2:4" ht="15.5">
      <c r="B167" s="113" t="s">
        <v>1582</v>
      </c>
      <c r="C167" s="32">
        <v>7</v>
      </c>
      <c r="D167" s="758">
        <v>6</v>
      </c>
    </row>
    <row r="168" spans="2:4" ht="15.5">
      <c r="B168" s="113" t="s">
        <v>1583</v>
      </c>
      <c r="C168" s="214" t="s">
        <v>731</v>
      </c>
      <c r="D168" s="758" t="s">
        <v>731</v>
      </c>
    </row>
    <row r="169" spans="2:4" ht="15.5">
      <c r="B169" s="113" t="s">
        <v>1584</v>
      </c>
      <c r="C169" s="32">
        <v>2</v>
      </c>
      <c r="D169" s="758">
        <v>2</v>
      </c>
    </row>
    <row r="170" spans="2:4" ht="15.5">
      <c r="B170" s="113" t="s">
        <v>1585</v>
      </c>
      <c r="C170" s="32">
        <v>1</v>
      </c>
      <c r="D170" s="758">
        <v>1</v>
      </c>
    </row>
    <row r="171" spans="2:4" ht="15.5">
      <c r="B171" s="113" t="s">
        <v>1586</v>
      </c>
      <c r="C171" s="32">
        <v>3</v>
      </c>
      <c r="D171" s="758">
        <v>3</v>
      </c>
    </row>
    <row r="172" spans="2:4" ht="15.5">
      <c r="B172" s="113" t="s">
        <v>1587</v>
      </c>
      <c r="C172" s="214" t="s">
        <v>731</v>
      </c>
      <c r="D172" s="758" t="s">
        <v>731</v>
      </c>
    </row>
    <row r="173" spans="2:4" ht="15.5">
      <c r="B173" s="113" t="s">
        <v>1588</v>
      </c>
      <c r="C173" s="32">
        <v>1</v>
      </c>
      <c r="D173" s="758">
        <v>1</v>
      </c>
    </row>
    <row r="174" spans="2:4" ht="15.5">
      <c r="B174" s="96" t="s">
        <v>1589</v>
      </c>
      <c r="C174" s="107">
        <v>15</v>
      </c>
      <c r="D174" s="759">
        <v>14</v>
      </c>
    </row>
    <row r="175" spans="2:4" ht="15.5">
      <c r="B175" s="113" t="s">
        <v>1590</v>
      </c>
      <c r="C175" s="32">
        <v>3</v>
      </c>
      <c r="D175" s="758">
        <v>3</v>
      </c>
    </row>
    <row r="176" spans="2:4" ht="15.5">
      <c r="B176" s="113" t="s">
        <v>1591</v>
      </c>
      <c r="C176" s="214" t="s">
        <v>731</v>
      </c>
      <c r="D176" s="758" t="s">
        <v>731</v>
      </c>
    </row>
    <row r="177" spans="2:4" ht="15.5">
      <c r="B177" s="113" t="s">
        <v>1592</v>
      </c>
      <c r="C177" s="214" t="s">
        <v>731</v>
      </c>
      <c r="D177" s="758" t="s">
        <v>731</v>
      </c>
    </row>
    <row r="178" spans="2:4" ht="15.5">
      <c r="B178" s="113" t="s">
        <v>1593</v>
      </c>
      <c r="C178" s="32">
        <v>2</v>
      </c>
      <c r="D178" s="758">
        <v>1</v>
      </c>
    </row>
    <row r="179" spans="2:4" ht="15.5">
      <c r="B179" s="113" t="s">
        <v>1594</v>
      </c>
      <c r="C179" s="32">
        <v>2</v>
      </c>
      <c r="D179" s="758">
        <v>2</v>
      </c>
    </row>
    <row r="180" spans="2:4" ht="15.5">
      <c r="B180" s="113" t="s">
        <v>1595</v>
      </c>
      <c r="C180" s="32">
        <v>1</v>
      </c>
      <c r="D180" s="758">
        <v>1</v>
      </c>
    </row>
    <row r="181" spans="2:4" ht="15.5">
      <c r="B181" s="113" t="s">
        <v>1596</v>
      </c>
      <c r="C181" s="214" t="s">
        <v>731</v>
      </c>
      <c r="D181" s="758" t="s">
        <v>731</v>
      </c>
    </row>
    <row r="182" spans="2:4" ht="15.5">
      <c r="B182" s="96" t="s">
        <v>1597</v>
      </c>
      <c r="C182" s="107">
        <v>8</v>
      </c>
      <c r="D182" s="759">
        <v>7</v>
      </c>
    </row>
    <row r="183" spans="2:4" ht="15.5">
      <c r="B183" s="113" t="s">
        <v>1598</v>
      </c>
      <c r="C183" s="32">
        <v>3</v>
      </c>
      <c r="D183" s="758">
        <v>3</v>
      </c>
    </row>
    <row r="184" spans="2:4" ht="15.5">
      <c r="B184" s="113" t="s">
        <v>1599</v>
      </c>
      <c r="C184" s="32">
        <v>1</v>
      </c>
      <c r="D184" s="758">
        <v>1</v>
      </c>
    </row>
    <row r="185" spans="2:4" ht="15.5">
      <c r="B185" s="113" t="s">
        <v>1600</v>
      </c>
      <c r="C185" s="32">
        <v>1</v>
      </c>
      <c r="D185" s="758">
        <v>1</v>
      </c>
    </row>
    <row r="186" spans="2:4" ht="15.5">
      <c r="B186" s="113" t="s">
        <v>1601</v>
      </c>
      <c r="C186" s="214" t="s">
        <v>731</v>
      </c>
      <c r="D186" s="758">
        <v>1</v>
      </c>
    </row>
    <row r="187" spans="2:4" ht="15.5">
      <c r="B187" s="113" t="s">
        <v>1602</v>
      </c>
      <c r="C187" s="32">
        <v>2</v>
      </c>
      <c r="D187" s="758">
        <v>1</v>
      </c>
    </row>
    <row r="188" spans="2:4" ht="15.5">
      <c r="B188" s="113" t="s">
        <v>1603</v>
      </c>
      <c r="C188" s="32">
        <v>2</v>
      </c>
      <c r="D188" s="758">
        <v>3</v>
      </c>
    </row>
    <row r="189" spans="2:4" ht="15.5">
      <c r="B189" s="113" t="s">
        <v>1604</v>
      </c>
      <c r="C189" s="32">
        <v>3</v>
      </c>
      <c r="D189" s="758">
        <v>3</v>
      </c>
    </row>
    <row r="190" spans="2:4" ht="15.5">
      <c r="B190" s="96" t="s">
        <v>1605</v>
      </c>
      <c r="C190" s="107">
        <v>12</v>
      </c>
      <c r="D190" s="759">
        <v>13</v>
      </c>
    </row>
    <row r="191" spans="2:4" ht="15.5">
      <c r="B191" s="113" t="s">
        <v>1606</v>
      </c>
      <c r="C191" s="32">
        <v>1</v>
      </c>
      <c r="D191" s="758">
        <v>1</v>
      </c>
    </row>
    <row r="192" spans="2:4" ht="15.5">
      <c r="B192" s="113" t="s">
        <v>1607</v>
      </c>
      <c r="C192" s="32">
        <v>1</v>
      </c>
      <c r="D192" s="758">
        <v>1</v>
      </c>
    </row>
    <row r="193" spans="2:4" ht="15.5">
      <c r="B193" s="113" t="s">
        <v>1608</v>
      </c>
      <c r="C193" s="32">
        <v>1</v>
      </c>
      <c r="D193" s="758">
        <v>1</v>
      </c>
    </row>
    <row r="194" spans="2:4" ht="15.5">
      <c r="B194" s="113" t="s">
        <v>1609</v>
      </c>
      <c r="C194" s="32">
        <v>7</v>
      </c>
      <c r="D194" s="758">
        <v>7</v>
      </c>
    </row>
    <row r="195" spans="2:4" ht="15.5">
      <c r="B195" s="113" t="s">
        <v>1610</v>
      </c>
      <c r="C195" s="32">
        <v>2</v>
      </c>
      <c r="D195" s="758">
        <v>2</v>
      </c>
    </row>
    <row r="196" spans="2:4" ht="15.5">
      <c r="B196" s="96" t="s">
        <v>1622</v>
      </c>
      <c r="C196" s="107">
        <v>12</v>
      </c>
      <c r="D196" s="759">
        <v>12</v>
      </c>
    </row>
    <row r="197" spans="2:4" ht="15.5">
      <c r="B197" s="113" t="s">
        <v>1612</v>
      </c>
      <c r="C197" s="32">
        <v>11</v>
      </c>
      <c r="D197" s="758">
        <v>10</v>
      </c>
    </row>
    <row r="198" spans="2:4" ht="15.5">
      <c r="B198" s="113" t="s">
        <v>1613</v>
      </c>
      <c r="C198" s="32">
        <v>7</v>
      </c>
      <c r="D198" s="758">
        <v>9</v>
      </c>
    </row>
    <row r="199" spans="2:4" ht="15.5">
      <c r="B199" s="113" t="s">
        <v>1614</v>
      </c>
      <c r="C199" s="32">
        <v>6</v>
      </c>
      <c r="D199" s="758">
        <v>6</v>
      </c>
    </row>
    <row r="200" spans="2:4" ht="15.5">
      <c r="B200" s="96" t="s">
        <v>1615</v>
      </c>
      <c r="C200" s="107">
        <v>24</v>
      </c>
      <c r="D200" s="759">
        <v>25</v>
      </c>
    </row>
    <row r="201" spans="2:4" ht="15.5">
      <c r="B201" s="95" t="s">
        <v>415</v>
      </c>
      <c r="C201" s="71">
        <v>71</v>
      </c>
      <c r="D201" s="760">
        <v>71</v>
      </c>
    </row>
    <row r="202" spans="2:4" ht="14.25" customHeight="1">
      <c r="B202" s="81" t="s">
        <v>265</v>
      </c>
    </row>
    <row r="203" spans="2:4">
      <c r="B203" s="24" t="s">
        <v>314</v>
      </c>
    </row>
    <row r="204" spans="2:4" ht="14.15" customHeight="1">
      <c r="B204" s="88" t="s">
        <v>1623</v>
      </c>
    </row>
    <row r="205" spans="2:4" ht="15.5">
      <c r="B205" s="95" t="s">
        <v>1580</v>
      </c>
      <c r="C205" s="71" t="s">
        <v>256</v>
      </c>
      <c r="D205" s="71" t="s">
        <v>257</v>
      </c>
    </row>
    <row r="206" spans="2:4" ht="15.5">
      <c r="B206" s="113" t="s">
        <v>1581</v>
      </c>
      <c r="C206" s="132">
        <v>98</v>
      </c>
      <c r="D206" s="214">
        <v>105</v>
      </c>
    </row>
    <row r="207" spans="2:4" ht="15.5">
      <c r="B207" s="113" t="s">
        <v>1582</v>
      </c>
      <c r="C207" s="132">
        <v>101</v>
      </c>
      <c r="D207" s="214">
        <v>103</v>
      </c>
    </row>
    <row r="208" spans="2:4" ht="15.5">
      <c r="B208" s="113" t="s">
        <v>1583</v>
      </c>
      <c r="C208" s="132">
        <v>157</v>
      </c>
      <c r="D208" s="214">
        <v>140</v>
      </c>
    </row>
    <row r="209" spans="2:4" ht="15.5">
      <c r="B209" s="113" t="s">
        <v>1584</v>
      </c>
      <c r="C209" s="132">
        <v>149</v>
      </c>
      <c r="D209" s="214">
        <v>157</v>
      </c>
    </row>
    <row r="210" spans="2:4" ht="15.5">
      <c r="B210" s="113" t="s">
        <v>1585</v>
      </c>
      <c r="C210" s="132">
        <v>261</v>
      </c>
      <c r="D210" s="214">
        <v>263</v>
      </c>
    </row>
    <row r="211" spans="2:4" ht="15.5">
      <c r="B211" s="113" t="s">
        <v>1586</v>
      </c>
      <c r="C211" s="132">
        <v>130</v>
      </c>
      <c r="D211" s="214">
        <v>131</v>
      </c>
    </row>
    <row r="212" spans="2:4" ht="15.5">
      <c r="B212" s="113" t="s">
        <v>1587</v>
      </c>
      <c r="C212" s="132">
        <v>103</v>
      </c>
      <c r="D212" s="214">
        <v>104</v>
      </c>
    </row>
    <row r="213" spans="2:4" ht="15.5">
      <c r="B213" s="113" t="s">
        <v>1588</v>
      </c>
      <c r="C213" s="132">
        <v>129</v>
      </c>
      <c r="D213" s="214">
        <v>119</v>
      </c>
    </row>
    <row r="214" spans="2:4" ht="15.5">
      <c r="B214" s="96" t="s">
        <v>1589</v>
      </c>
      <c r="C214" s="97">
        <v>1128</v>
      </c>
      <c r="D214" s="107">
        <v>1122</v>
      </c>
    </row>
    <row r="215" spans="2:4" ht="15.5">
      <c r="B215" s="113" t="s">
        <v>1590</v>
      </c>
      <c r="C215" s="132">
        <v>242</v>
      </c>
      <c r="D215" s="214">
        <v>204</v>
      </c>
    </row>
    <row r="216" spans="2:4" ht="15.5">
      <c r="B216" s="113" t="s">
        <v>1591</v>
      </c>
      <c r="C216" s="132">
        <v>200</v>
      </c>
      <c r="D216" s="214">
        <v>207</v>
      </c>
    </row>
    <row r="217" spans="2:4" ht="15.5">
      <c r="B217" s="113" t="s">
        <v>1592</v>
      </c>
      <c r="C217" s="132">
        <v>156</v>
      </c>
      <c r="D217" s="214">
        <v>161</v>
      </c>
    </row>
    <row r="218" spans="2:4" ht="15.5">
      <c r="B218" s="113" t="s">
        <v>1593</v>
      </c>
      <c r="C218" s="132">
        <v>310</v>
      </c>
      <c r="D218" s="214">
        <v>307</v>
      </c>
    </row>
    <row r="219" spans="2:4" ht="15.5">
      <c r="B219" s="113" t="s">
        <v>1594</v>
      </c>
      <c r="C219" s="132">
        <v>218</v>
      </c>
      <c r="D219" s="214">
        <v>251</v>
      </c>
    </row>
    <row r="220" spans="2:4" ht="15.5">
      <c r="B220" s="113" t="s">
        <v>1595</v>
      </c>
      <c r="C220" s="132">
        <v>190</v>
      </c>
      <c r="D220" s="214">
        <v>190</v>
      </c>
    </row>
    <row r="221" spans="2:4" ht="15.5">
      <c r="B221" s="113" t="s">
        <v>1596</v>
      </c>
      <c r="C221" s="132">
        <v>283</v>
      </c>
      <c r="D221" s="214">
        <v>284</v>
      </c>
    </row>
    <row r="222" spans="2:4" ht="15.5">
      <c r="B222" s="96" t="s">
        <v>1597</v>
      </c>
      <c r="C222" s="97">
        <v>1599</v>
      </c>
      <c r="D222" s="97">
        <v>1604</v>
      </c>
    </row>
    <row r="223" spans="2:4" ht="15.5">
      <c r="B223" s="113" t="s">
        <v>1598</v>
      </c>
      <c r="C223" s="132">
        <v>193</v>
      </c>
      <c r="D223" s="214">
        <v>170</v>
      </c>
    </row>
    <row r="224" spans="2:4" ht="15.5">
      <c r="B224" s="113" t="s">
        <v>1599</v>
      </c>
      <c r="C224" s="132">
        <v>207</v>
      </c>
      <c r="D224" s="214">
        <v>232</v>
      </c>
    </row>
    <row r="225" spans="2:4" ht="15.5">
      <c r="B225" s="113" t="s">
        <v>1600</v>
      </c>
      <c r="C225" s="132">
        <v>77</v>
      </c>
      <c r="D225" s="214">
        <v>77</v>
      </c>
    </row>
    <row r="226" spans="2:4" ht="15.5">
      <c r="B226" s="113" t="s">
        <v>1601</v>
      </c>
      <c r="C226" s="132">
        <v>110</v>
      </c>
      <c r="D226" s="214">
        <v>112</v>
      </c>
    </row>
    <row r="227" spans="2:4" ht="15.5">
      <c r="B227" s="113" t="s">
        <v>1602</v>
      </c>
      <c r="C227" s="132">
        <v>104</v>
      </c>
      <c r="D227" s="214">
        <v>122</v>
      </c>
    </row>
    <row r="228" spans="2:4" ht="15.5">
      <c r="B228" s="113" t="s">
        <v>1603</v>
      </c>
      <c r="C228" s="132">
        <v>216</v>
      </c>
      <c r="D228" s="214">
        <v>205</v>
      </c>
    </row>
    <row r="229" spans="2:4" ht="15.5">
      <c r="B229" s="113" t="s">
        <v>1604</v>
      </c>
      <c r="C229" s="132">
        <v>167</v>
      </c>
      <c r="D229" s="214">
        <v>163</v>
      </c>
    </row>
    <row r="230" spans="2:4" ht="15.5">
      <c r="B230" s="96" t="s">
        <v>1605</v>
      </c>
      <c r="C230" s="97">
        <v>1074</v>
      </c>
      <c r="D230" s="97">
        <v>1081</v>
      </c>
    </row>
    <row r="231" spans="2:4" ht="15.5">
      <c r="B231" s="113" t="s">
        <v>1606</v>
      </c>
      <c r="C231" s="132">
        <v>203</v>
      </c>
      <c r="D231" s="214">
        <v>191</v>
      </c>
    </row>
    <row r="232" spans="2:4" ht="15.5">
      <c r="B232" s="113" t="s">
        <v>1607</v>
      </c>
      <c r="C232" s="132">
        <v>312</v>
      </c>
      <c r="D232" s="214">
        <v>237</v>
      </c>
    </row>
    <row r="233" spans="2:4" ht="15.5">
      <c r="B233" s="113" t="s">
        <v>1608</v>
      </c>
      <c r="C233" s="132">
        <v>306</v>
      </c>
      <c r="D233" s="214">
        <v>295</v>
      </c>
    </row>
    <row r="234" spans="2:4" ht="15.5">
      <c r="B234" s="113" t="s">
        <v>1609</v>
      </c>
      <c r="C234" s="132">
        <v>137</v>
      </c>
      <c r="D234" s="214">
        <v>145</v>
      </c>
    </row>
    <row r="235" spans="2:4" ht="15.5">
      <c r="B235" s="113" t="s">
        <v>1610</v>
      </c>
      <c r="C235" s="132">
        <v>168</v>
      </c>
      <c r="D235" s="214">
        <v>177</v>
      </c>
    </row>
    <row r="236" spans="2:4" ht="15.5">
      <c r="B236" s="96" t="s">
        <v>1611</v>
      </c>
      <c r="C236" s="97">
        <v>1126</v>
      </c>
      <c r="D236" s="97">
        <v>1045</v>
      </c>
    </row>
    <row r="237" spans="2:4" ht="15.5">
      <c r="B237" s="113" t="s">
        <v>1612</v>
      </c>
      <c r="C237" s="132">
        <v>57</v>
      </c>
      <c r="D237" s="214">
        <v>60</v>
      </c>
    </row>
    <row r="238" spans="2:4" ht="15.5">
      <c r="B238" s="113" t="s">
        <v>1613</v>
      </c>
      <c r="C238" s="132">
        <v>45</v>
      </c>
      <c r="D238" s="214">
        <v>45</v>
      </c>
    </row>
    <row r="239" spans="2:4" ht="15.5">
      <c r="B239" s="113" t="s">
        <v>1614</v>
      </c>
      <c r="C239" s="132">
        <v>47</v>
      </c>
      <c r="D239" s="214">
        <v>46</v>
      </c>
    </row>
    <row r="240" spans="2:4" ht="15.5">
      <c r="B240" s="96" t="s">
        <v>1617</v>
      </c>
      <c r="C240" s="107">
        <v>149</v>
      </c>
      <c r="D240" s="107">
        <v>151</v>
      </c>
    </row>
    <row r="241" spans="2:4" ht="15.5">
      <c r="B241" s="95" t="s">
        <v>1534</v>
      </c>
      <c r="C241" s="290">
        <v>5076</v>
      </c>
      <c r="D241" s="290">
        <v>5003</v>
      </c>
    </row>
    <row r="242" spans="2:4" ht="15" customHeight="1">
      <c r="B242" s="81" t="s">
        <v>265</v>
      </c>
    </row>
    <row r="243" spans="2:4">
      <c r="B243" s="24" t="s">
        <v>314</v>
      </c>
    </row>
    <row r="244" spans="2:4" ht="14.5" customHeight="1">
      <c r="B244" s="88" t="s">
        <v>1624</v>
      </c>
    </row>
    <row r="245" spans="2:4" ht="15.5">
      <c r="B245" s="95" t="s">
        <v>1580</v>
      </c>
      <c r="C245" s="71" t="s">
        <v>256</v>
      </c>
      <c r="D245" s="71" t="s">
        <v>257</v>
      </c>
    </row>
    <row r="246" spans="2:4" ht="15.5">
      <c r="B246" s="113" t="s">
        <v>1581</v>
      </c>
      <c r="C246" s="132">
        <v>185</v>
      </c>
      <c r="D246" s="132">
        <v>239</v>
      </c>
    </row>
    <row r="247" spans="2:4" ht="15.5">
      <c r="B247" s="113" t="s">
        <v>1582</v>
      </c>
      <c r="C247" s="132">
        <v>245</v>
      </c>
      <c r="D247" s="132">
        <v>333</v>
      </c>
    </row>
    <row r="248" spans="2:4" ht="15.5">
      <c r="B248" s="113" t="s">
        <v>1583</v>
      </c>
      <c r="C248" s="132">
        <v>349</v>
      </c>
      <c r="D248" s="132">
        <v>503</v>
      </c>
    </row>
    <row r="249" spans="2:4" ht="15.5">
      <c r="B249" s="113" t="s">
        <v>1584</v>
      </c>
      <c r="C249" s="132">
        <v>296</v>
      </c>
      <c r="D249" s="132">
        <v>343</v>
      </c>
    </row>
    <row r="250" spans="2:4" ht="15.5">
      <c r="B250" s="113" t="s">
        <v>1585</v>
      </c>
      <c r="C250" s="132">
        <v>196</v>
      </c>
      <c r="D250" s="132">
        <v>247</v>
      </c>
    </row>
    <row r="251" spans="2:4" ht="15.5">
      <c r="B251" s="113" t="s">
        <v>1586</v>
      </c>
      <c r="C251" s="132">
        <v>188</v>
      </c>
      <c r="D251" s="132">
        <v>265</v>
      </c>
    </row>
    <row r="252" spans="2:4" ht="15.5">
      <c r="B252" s="113" t="s">
        <v>1587</v>
      </c>
      <c r="C252" s="132">
        <v>154</v>
      </c>
      <c r="D252" s="132">
        <v>222</v>
      </c>
    </row>
    <row r="253" spans="2:4" ht="15.5">
      <c r="B253" s="113" t="s">
        <v>1588</v>
      </c>
      <c r="C253" s="132">
        <v>185</v>
      </c>
      <c r="D253" s="132">
        <v>239</v>
      </c>
    </row>
    <row r="254" spans="2:4" ht="15.5">
      <c r="B254" s="294" t="s">
        <v>1589</v>
      </c>
      <c r="C254" s="295">
        <v>1798</v>
      </c>
      <c r="D254" s="295">
        <v>2391</v>
      </c>
    </row>
    <row r="255" spans="2:4" ht="15.5">
      <c r="B255" s="113" t="s">
        <v>1590</v>
      </c>
      <c r="C255" s="132">
        <v>359</v>
      </c>
      <c r="D255" s="132">
        <v>452</v>
      </c>
    </row>
    <row r="256" spans="2:4" ht="15.5">
      <c r="B256" s="113" t="s">
        <v>1591</v>
      </c>
      <c r="C256" s="132">
        <v>188</v>
      </c>
      <c r="D256" s="132">
        <v>244</v>
      </c>
    </row>
    <row r="257" spans="2:4" ht="15.5">
      <c r="B257" s="113" t="s">
        <v>1592</v>
      </c>
      <c r="C257" s="132">
        <v>167</v>
      </c>
      <c r="D257" s="132">
        <v>215</v>
      </c>
    </row>
    <row r="258" spans="2:4" ht="15.5">
      <c r="B258" s="113" t="s">
        <v>1593</v>
      </c>
      <c r="C258" s="132">
        <v>198</v>
      </c>
      <c r="D258" s="132">
        <v>281</v>
      </c>
    </row>
    <row r="259" spans="2:4" ht="15.5">
      <c r="B259" s="113" t="s">
        <v>1594</v>
      </c>
      <c r="C259" s="132">
        <v>323</v>
      </c>
      <c r="D259" s="132">
        <v>396</v>
      </c>
    </row>
    <row r="260" spans="2:4" ht="15.5">
      <c r="B260" s="113" t="s">
        <v>1595</v>
      </c>
      <c r="C260" s="132">
        <v>251</v>
      </c>
      <c r="D260" s="132">
        <v>372</v>
      </c>
    </row>
    <row r="261" spans="2:4" ht="15.5">
      <c r="B261" s="113" t="s">
        <v>1596</v>
      </c>
      <c r="C261" s="132">
        <v>155</v>
      </c>
      <c r="D261" s="132">
        <v>219</v>
      </c>
    </row>
    <row r="262" spans="2:4" ht="15.5">
      <c r="B262" s="294" t="s">
        <v>1597</v>
      </c>
      <c r="C262" s="295">
        <v>1641</v>
      </c>
      <c r="D262" s="295">
        <v>2179</v>
      </c>
    </row>
    <row r="263" spans="2:4" ht="15.5">
      <c r="B263" s="113" t="s">
        <v>1598</v>
      </c>
      <c r="C263" s="132">
        <v>331</v>
      </c>
      <c r="D263" s="132">
        <v>442</v>
      </c>
    </row>
    <row r="264" spans="2:4" ht="15.5">
      <c r="B264" s="113" t="s">
        <v>1599</v>
      </c>
      <c r="C264" s="132">
        <v>356</v>
      </c>
      <c r="D264" s="132">
        <v>464</v>
      </c>
    </row>
    <row r="265" spans="2:4" ht="15.5">
      <c r="B265" s="113" t="s">
        <v>1600</v>
      </c>
      <c r="C265" s="132">
        <v>151</v>
      </c>
      <c r="D265" s="132">
        <v>251</v>
      </c>
    </row>
    <row r="266" spans="2:4" ht="15.5">
      <c r="B266" s="113" t="s">
        <v>1601</v>
      </c>
      <c r="C266" s="132">
        <v>240</v>
      </c>
      <c r="D266" s="132">
        <v>268</v>
      </c>
    </row>
    <row r="267" spans="2:4" ht="15.5">
      <c r="B267" s="113" t="s">
        <v>1602</v>
      </c>
      <c r="C267" s="132">
        <v>192</v>
      </c>
      <c r="D267" s="132">
        <v>274</v>
      </c>
    </row>
    <row r="268" spans="2:4" ht="15.5">
      <c r="B268" s="113" t="s">
        <v>1603</v>
      </c>
      <c r="C268" s="132">
        <v>571</v>
      </c>
      <c r="D268" s="132">
        <v>662</v>
      </c>
    </row>
    <row r="269" spans="2:4" ht="15.5">
      <c r="B269" s="113" t="s">
        <v>1604</v>
      </c>
      <c r="C269" s="132">
        <v>231</v>
      </c>
      <c r="D269" s="132">
        <v>309</v>
      </c>
    </row>
    <row r="270" spans="2:4" ht="15.5">
      <c r="B270" s="294" t="s">
        <v>1605</v>
      </c>
      <c r="C270" s="295">
        <v>2072</v>
      </c>
      <c r="D270" s="295">
        <v>2670</v>
      </c>
    </row>
    <row r="271" spans="2:4" ht="15.5">
      <c r="B271" s="113" t="s">
        <v>1606</v>
      </c>
      <c r="C271" s="132">
        <v>213</v>
      </c>
      <c r="D271" s="132">
        <v>269</v>
      </c>
    </row>
    <row r="272" spans="2:4" ht="15.5">
      <c r="B272" s="113" t="s">
        <v>1607</v>
      </c>
      <c r="C272" s="132">
        <v>191</v>
      </c>
      <c r="D272" s="132">
        <v>255</v>
      </c>
    </row>
    <row r="273" spans="2:6" ht="15.5">
      <c r="B273" s="113" t="s">
        <v>1608</v>
      </c>
      <c r="C273" s="132">
        <v>255</v>
      </c>
      <c r="D273" s="132">
        <v>309</v>
      </c>
    </row>
    <row r="274" spans="2:6" ht="15.5">
      <c r="B274" s="113" t="s">
        <v>1609</v>
      </c>
      <c r="C274" s="132">
        <v>362</v>
      </c>
      <c r="D274" s="132">
        <v>575</v>
      </c>
    </row>
    <row r="275" spans="2:6" ht="15.5">
      <c r="B275" s="113" t="s">
        <v>1610</v>
      </c>
      <c r="C275" s="132">
        <v>229</v>
      </c>
      <c r="D275" s="132">
        <v>265</v>
      </c>
    </row>
    <row r="276" spans="2:6" ht="15.5">
      <c r="B276" s="294" t="s">
        <v>1611</v>
      </c>
      <c r="C276" s="295">
        <v>1250</v>
      </c>
      <c r="D276" s="295">
        <v>1673</v>
      </c>
    </row>
    <row r="277" spans="2:6" ht="15.5">
      <c r="B277" s="113" t="s">
        <v>1612</v>
      </c>
      <c r="C277" s="132">
        <v>820</v>
      </c>
      <c r="D277" s="132">
        <v>921</v>
      </c>
    </row>
    <row r="278" spans="2:6" ht="15.5">
      <c r="B278" s="113" t="s">
        <v>1613</v>
      </c>
      <c r="C278" s="132">
        <v>459</v>
      </c>
      <c r="D278" s="132">
        <v>505</v>
      </c>
      <c r="F278" t="s">
        <v>704</v>
      </c>
    </row>
    <row r="279" spans="2:6" ht="15.5">
      <c r="B279" s="113" t="s">
        <v>1614</v>
      </c>
      <c r="C279" s="132">
        <v>318</v>
      </c>
      <c r="D279" s="132">
        <v>387</v>
      </c>
    </row>
    <row r="280" spans="2:6" ht="15.5">
      <c r="B280" s="294" t="s">
        <v>1617</v>
      </c>
      <c r="C280" s="295">
        <v>1597</v>
      </c>
      <c r="D280" s="295">
        <v>1813</v>
      </c>
    </row>
    <row r="281" spans="2:6" ht="15.5">
      <c r="B281" s="95" t="s">
        <v>1534</v>
      </c>
      <c r="C281" s="290">
        <v>8358</v>
      </c>
      <c r="D281" s="756">
        <v>10726</v>
      </c>
    </row>
    <row r="282" spans="2:6" ht="15.75" customHeight="1">
      <c r="B282" s="81" t="s">
        <v>265</v>
      </c>
    </row>
    <row r="283" spans="2:6" ht="15.75" customHeight="1">
      <c r="B283" s="1"/>
    </row>
    <row r="284" spans="2:6" ht="18.649999999999999" customHeight="1">
      <c r="B284" s="88" t="s">
        <v>1625</v>
      </c>
    </row>
    <row r="285" spans="2:6" ht="15.5">
      <c r="B285" s="95" t="s">
        <v>1580</v>
      </c>
      <c r="C285" s="71" t="s">
        <v>256</v>
      </c>
      <c r="D285" s="71" t="s">
        <v>257</v>
      </c>
    </row>
    <row r="286" spans="2:6" ht="15.5">
      <c r="B286" s="113" t="s">
        <v>1581</v>
      </c>
      <c r="C286" s="128">
        <v>1440</v>
      </c>
      <c r="D286" s="128">
        <v>1491</v>
      </c>
    </row>
    <row r="287" spans="2:6" ht="15.5">
      <c r="B287" s="113" t="s">
        <v>1582</v>
      </c>
      <c r="C287" s="128">
        <v>1319</v>
      </c>
      <c r="D287" s="128">
        <v>1398</v>
      </c>
    </row>
    <row r="288" spans="2:6" ht="15.5">
      <c r="B288" s="113" t="s">
        <v>1583</v>
      </c>
      <c r="C288" s="128">
        <v>1612</v>
      </c>
      <c r="D288" s="128">
        <v>1755</v>
      </c>
    </row>
    <row r="289" spans="2:4" ht="15.5">
      <c r="B289" s="113" t="s">
        <v>1584</v>
      </c>
      <c r="C289" s="128">
        <v>1339</v>
      </c>
      <c r="D289" s="128">
        <v>1445</v>
      </c>
    </row>
    <row r="290" spans="2:4" ht="15.5">
      <c r="B290" s="113" t="s">
        <v>1585</v>
      </c>
      <c r="C290" s="128">
        <v>1562</v>
      </c>
      <c r="D290" s="128">
        <v>1650</v>
      </c>
    </row>
    <row r="291" spans="2:4" ht="15.5">
      <c r="B291" s="113" t="s">
        <v>1586</v>
      </c>
      <c r="C291" s="128">
        <v>1273</v>
      </c>
      <c r="D291" s="128">
        <v>1378</v>
      </c>
    </row>
    <row r="292" spans="2:4" ht="15.5">
      <c r="B292" s="113" t="s">
        <v>1587</v>
      </c>
      <c r="C292" s="128">
        <v>1231</v>
      </c>
      <c r="D292" s="128">
        <v>1236</v>
      </c>
    </row>
    <row r="293" spans="2:4" ht="15.5">
      <c r="B293" s="113" t="s">
        <v>1588</v>
      </c>
      <c r="C293" s="128">
        <v>1339</v>
      </c>
      <c r="D293" s="128">
        <v>1367</v>
      </c>
    </row>
    <row r="294" spans="2:4" ht="15.5">
      <c r="B294" s="294" t="s">
        <v>1589</v>
      </c>
      <c r="C294" s="295">
        <v>11115</v>
      </c>
      <c r="D294" s="295">
        <v>11720</v>
      </c>
    </row>
    <row r="295" spans="2:4" ht="15.5">
      <c r="B295" s="113" t="s">
        <v>1590</v>
      </c>
      <c r="C295" s="128">
        <v>1488</v>
      </c>
      <c r="D295" s="128">
        <v>1683</v>
      </c>
    </row>
    <row r="296" spans="2:4" ht="15.5">
      <c r="B296" s="113" t="s">
        <v>1591</v>
      </c>
      <c r="C296" s="128">
        <v>1283</v>
      </c>
      <c r="D296" s="128">
        <v>1389</v>
      </c>
    </row>
    <row r="297" spans="2:4" ht="15.5">
      <c r="B297" s="113" t="s">
        <v>1592</v>
      </c>
      <c r="C297" s="128">
        <v>1254</v>
      </c>
      <c r="D297" s="128">
        <v>1332</v>
      </c>
    </row>
    <row r="298" spans="2:4" ht="15.5">
      <c r="B298" s="113" t="s">
        <v>1593</v>
      </c>
      <c r="C298" s="128">
        <v>1670</v>
      </c>
      <c r="D298" s="128">
        <v>1826</v>
      </c>
    </row>
    <row r="299" spans="2:4" ht="15.5">
      <c r="B299" s="113" t="s">
        <v>1594</v>
      </c>
      <c r="C299" s="128">
        <v>1667</v>
      </c>
      <c r="D299" s="128">
        <v>1845</v>
      </c>
    </row>
    <row r="300" spans="2:4" ht="15.5">
      <c r="B300" s="113" t="s">
        <v>1595</v>
      </c>
      <c r="C300" s="128">
        <v>1772</v>
      </c>
      <c r="D300" s="128">
        <v>1905</v>
      </c>
    </row>
    <row r="301" spans="2:4" ht="15.5">
      <c r="B301" s="113" t="s">
        <v>1596</v>
      </c>
      <c r="C301" s="128">
        <v>1363</v>
      </c>
      <c r="D301" s="128">
        <v>1363</v>
      </c>
    </row>
    <row r="302" spans="2:4" ht="15.5">
      <c r="B302" s="294" t="s">
        <v>1597</v>
      </c>
      <c r="C302" s="295">
        <v>10497</v>
      </c>
      <c r="D302" s="295">
        <v>11343</v>
      </c>
    </row>
    <row r="303" spans="2:4" ht="15.5">
      <c r="B303" s="113" t="s">
        <v>1598</v>
      </c>
      <c r="C303" s="128">
        <v>1864</v>
      </c>
      <c r="D303" s="128">
        <v>1963</v>
      </c>
    </row>
    <row r="304" spans="2:4" ht="15.5">
      <c r="B304" s="113" t="s">
        <v>1599</v>
      </c>
      <c r="C304" s="128">
        <v>2012</v>
      </c>
      <c r="D304" s="128">
        <v>2185</v>
      </c>
    </row>
    <row r="305" spans="2:4" ht="15.5">
      <c r="B305" s="113" t="s">
        <v>1600</v>
      </c>
      <c r="C305" s="128">
        <v>1573</v>
      </c>
      <c r="D305" s="128">
        <v>1689</v>
      </c>
    </row>
    <row r="306" spans="2:4" ht="15.5">
      <c r="B306" s="113" t="s">
        <v>1601</v>
      </c>
      <c r="C306" s="128">
        <v>1632</v>
      </c>
      <c r="D306" s="128">
        <v>1724</v>
      </c>
    </row>
    <row r="307" spans="2:4" ht="15.5">
      <c r="B307" s="113" t="s">
        <v>1602</v>
      </c>
      <c r="C307" s="128">
        <v>1486</v>
      </c>
      <c r="D307" s="128">
        <v>1632</v>
      </c>
    </row>
    <row r="308" spans="2:4" ht="15.5">
      <c r="B308" s="113" t="s">
        <v>1603</v>
      </c>
      <c r="C308" s="128">
        <v>2394</v>
      </c>
      <c r="D308" s="128">
        <v>2403</v>
      </c>
    </row>
    <row r="309" spans="2:4" ht="15.5">
      <c r="B309" s="113" t="s">
        <v>1604</v>
      </c>
      <c r="C309" s="128">
        <v>1540</v>
      </c>
      <c r="D309" s="128">
        <v>1680</v>
      </c>
    </row>
    <row r="310" spans="2:4" ht="15.5">
      <c r="B310" s="294" t="s">
        <v>1605</v>
      </c>
      <c r="C310" s="295">
        <v>12501</v>
      </c>
      <c r="D310" s="295">
        <v>13276</v>
      </c>
    </row>
    <row r="311" spans="2:4" ht="15.5">
      <c r="B311" s="293" t="s">
        <v>1606</v>
      </c>
      <c r="C311" s="128">
        <v>1499</v>
      </c>
      <c r="D311" s="128">
        <v>1613</v>
      </c>
    </row>
    <row r="312" spans="2:4" ht="15.5">
      <c r="B312" s="113" t="s">
        <v>1607</v>
      </c>
      <c r="C312" s="128">
        <v>1389</v>
      </c>
      <c r="D312" s="128">
        <v>1502</v>
      </c>
    </row>
    <row r="313" spans="2:4" ht="15.5">
      <c r="B313" s="113" t="s">
        <v>1608</v>
      </c>
      <c r="C313" s="128">
        <v>1567</v>
      </c>
      <c r="D313" s="128">
        <v>1709</v>
      </c>
    </row>
    <row r="314" spans="2:4" ht="15.5">
      <c r="B314" s="113" t="s">
        <v>1609</v>
      </c>
      <c r="C314" s="128">
        <v>1702</v>
      </c>
      <c r="D314" s="128">
        <v>1843</v>
      </c>
    </row>
    <row r="315" spans="2:4" ht="15.5">
      <c r="B315" s="113" t="s">
        <v>1610</v>
      </c>
      <c r="C315" s="128">
        <v>1219</v>
      </c>
      <c r="D315" s="128">
        <v>1328</v>
      </c>
    </row>
    <row r="316" spans="2:4" ht="15.5">
      <c r="B316" s="294" t="s">
        <v>1611</v>
      </c>
      <c r="C316" s="295">
        <v>7376</v>
      </c>
      <c r="D316" s="295">
        <v>7995</v>
      </c>
    </row>
    <row r="317" spans="2:4" ht="15.5">
      <c r="B317" s="113" t="s">
        <v>1612</v>
      </c>
      <c r="C317" s="128">
        <v>2267</v>
      </c>
      <c r="D317" s="128">
        <v>2638</v>
      </c>
    </row>
    <row r="318" spans="2:4" ht="15.5">
      <c r="B318" s="113" t="s">
        <v>1613</v>
      </c>
      <c r="C318" s="128">
        <v>1223</v>
      </c>
      <c r="D318" s="128">
        <v>1419</v>
      </c>
    </row>
    <row r="319" spans="2:4" ht="15.5">
      <c r="B319" s="113" t="s">
        <v>1614</v>
      </c>
      <c r="C319" s="128">
        <v>1031</v>
      </c>
      <c r="D319" s="128">
        <v>1170</v>
      </c>
    </row>
    <row r="320" spans="2:4" ht="15.5">
      <c r="B320" s="294" t="s">
        <v>1617</v>
      </c>
      <c r="C320" s="295">
        <v>4521</v>
      </c>
      <c r="D320" s="295">
        <v>5227</v>
      </c>
    </row>
    <row r="321" spans="2:4" ht="15.5">
      <c r="B321" s="95" t="s">
        <v>1534</v>
      </c>
      <c r="C321" s="290">
        <v>46010</v>
      </c>
      <c r="D321" s="290">
        <v>49561</v>
      </c>
    </row>
    <row r="322" spans="2:4" ht="16.5" customHeight="1">
      <c r="B322" s="81" t="s">
        <v>265</v>
      </c>
    </row>
    <row r="323" spans="2:4">
      <c r="B323" s="24" t="s">
        <v>314</v>
      </c>
    </row>
    <row r="324" spans="2:4" ht="15.65" customHeight="1">
      <c r="B324" s="88" t="s">
        <v>1626</v>
      </c>
    </row>
    <row r="325" spans="2:4" ht="15.5">
      <c r="B325" s="95" t="s">
        <v>1580</v>
      </c>
      <c r="C325" s="71" t="s">
        <v>256</v>
      </c>
      <c r="D325" s="547" t="s">
        <v>257</v>
      </c>
    </row>
    <row r="326" spans="2:4" ht="15.5">
      <c r="B326" s="113" t="s">
        <v>1581</v>
      </c>
      <c r="C326" s="132">
        <v>599</v>
      </c>
      <c r="D326" s="132">
        <v>608</v>
      </c>
    </row>
    <row r="327" spans="2:4" ht="15.5">
      <c r="B327" s="113" t="s">
        <v>1582</v>
      </c>
      <c r="C327" s="132">
        <v>631</v>
      </c>
      <c r="D327" s="132">
        <v>640</v>
      </c>
    </row>
    <row r="328" spans="2:4" ht="15.5">
      <c r="B328" s="113" t="s">
        <v>1583</v>
      </c>
      <c r="C328" s="132">
        <v>723</v>
      </c>
      <c r="D328" s="132">
        <v>740</v>
      </c>
    </row>
    <row r="329" spans="2:4" ht="15.5">
      <c r="B329" s="113" t="s">
        <v>1584</v>
      </c>
      <c r="C329" s="132">
        <v>722</v>
      </c>
      <c r="D329" s="132">
        <v>756</v>
      </c>
    </row>
    <row r="330" spans="2:4" ht="15.5">
      <c r="B330" s="113" t="s">
        <v>1585</v>
      </c>
      <c r="C330" s="132">
        <v>712</v>
      </c>
      <c r="D330" s="132">
        <v>736</v>
      </c>
    </row>
    <row r="331" spans="2:4" ht="15.5">
      <c r="B331" s="113" t="s">
        <v>1586</v>
      </c>
      <c r="C331" s="132">
        <v>630</v>
      </c>
      <c r="D331" s="132">
        <v>653</v>
      </c>
    </row>
    <row r="332" spans="2:4" ht="15.5">
      <c r="B332" s="113" t="s">
        <v>1587</v>
      </c>
      <c r="C332" s="132">
        <v>574</v>
      </c>
      <c r="D332" s="132">
        <v>598</v>
      </c>
    </row>
    <row r="333" spans="2:4" ht="15.5">
      <c r="B333" s="113" t="s">
        <v>1588</v>
      </c>
      <c r="C333" s="132">
        <v>670</v>
      </c>
      <c r="D333" s="132">
        <v>698</v>
      </c>
    </row>
    <row r="334" spans="2:4" ht="15.5">
      <c r="B334" s="294" t="s">
        <v>1589</v>
      </c>
      <c r="C334" s="295">
        <v>5261</v>
      </c>
      <c r="D334" s="295">
        <v>5429</v>
      </c>
    </row>
    <row r="335" spans="2:4" ht="15.5">
      <c r="B335" s="113" t="s">
        <v>1590</v>
      </c>
      <c r="C335" s="132">
        <v>742</v>
      </c>
      <c r="D335" s="132">
        <v>764</v>
      </c>
    </row>
    <row r="336" spans="2:4" ht="15.5">
      <c r="B336" s="113" t="s">
        <v>1591</v>
      </c>
      <c r="C336" s="132">
        <v>458</v>
      </c>
      <c r="D336" s="132">
        <v>498</v>
      </c>
    </row>
    <row r="337" spans="2:4" ht="15.5">
      <c r="B337" s="113" t="s">
        <v>1592</v>
      </c>
      <c r="C337" s="132">
        <v>549</v>
      </c>
      <c r="D337" s="132">
        <v>546</v>
      </c>
    </row>
    <row r="338" spans="2:4" ht="15.5">
      <c r="B338" s="113" t="s">
        <v>1593</v>
      </c>
      <c r="C338" s="132">
        <v>769</v>
      </c>
      <c r="D338" s="132">
        <v>798</v>
      </c>
    </row>
    <row r="339" spans="2:4" ht="15.5">
      <c r="B339" s="113" t="s">
        <v>1594</v>
      </c>
      <c r="C339" s="132">
        <v>663</v>
      </c>
      <c r="D339" s="132">
        <v>699</v>
      </c>
    </row>
    <row r="340" spans="2:4" ht="15.5">
      <c r="B340" s="113" t="s">
        <v>1595</v>
      </c>
      <c r="C340" s="132">
        <v>748</v>
      </c>
      <c r="D340" s="132">
        <v>783</v>
      </c>
    </row>
    <row r="341" spans="2:4" ht="15.5">
      <c r="B341" s="113" t="s">
        <v>1596</v>
      </c>
      <c r="C341" s="132">
        <v>582</v>
      </c>
      <c r="D341" s="132">
        <v>575</v>
      </c>
    </row>
    <row r="342" spans="2:4" ht="15.5">
      <c r="B342" s="294" t="s">
        <v>1597</v>
      </c>
      <c r="C342" s="295">
        <v>4511</v>
      </c>
      <c r="D342" s="295">
        <v>4663</v>
      </c>
    </row>
    <row r="343" spans="2:4" ht="15.5">
      <c r="B343" s="113" t="s">
        <v>1598</v>
      </c>
      <c r="C343" s="132">
        <v>723</v>
      </c>
      <c r="D343" s="132">
        <v>749</v>
      </c>
    </row>
    <row r="344" spans="2:4" ht="15.5">
      <c r="B344" s="113" t="s">
        <v>1599</v>
      </c>
      <c r="C344" s="132">
        <v>896</v>
      </c>
      <c r="D344" s="132">
        <v>928</v>
      </c>
    </row>
    <row r="345" spans="2:4" ht="15.5">
      <c r="B345" s="113" t="s">
        <v>1600</v>
      </c>
      <c r="C345" s="132">
        <v>682</v>
      </c>
      <c r="D345" s="132">
        <v>709</v>
      </c>
    </row>
    <row r="346" spans="2:4" ht="15.5">
      <c r="B346" s="113" t="s">
        <v>1601</v>
      </c>
      <c r="C346" s="132">
        <v>623</v>
      </c>
      <c r="D346" s="132">
        <v>669</v>
      </c>
    </row>
    <row r="347" spans="2:4" ht="15.5">
      <c r="B347" s="113" t="s">
        <v>1602</v>
      </c>
      <c r="C347" s="132">
        <v>591</v>
      </c>
      <c r="D347" s="132">
        <v>593</v>
      </c>
    </row>
    <row r="348" spans="2:4" ht="15.5">
      <c r="B348" s="113" t="s">
        <v>1603</v>
      </c>
      <c r="C348" s="132">
        <v>933</v>
      </c>
      <c r="D348" s="132">
        <v>969</v>
      </c>
    </row>
    <row r="349" spans="2:4" ht="15.5">
      <c r="B349" s="113" t="s">
        <v>1604</v>
      </c>
      <c r="C349" s="132">
        <v>729</v>
      </c>
      <c r="D349" s="132">
        <v>756</v>
      </c>
    </row>
    <row r="350" spans="2:4" ht="15.5">
      <c r="B350" s="294" t="s">
        <v>1605</v>
      </c>
      <c r="C350" s="295">
        <v>5177</v>
      </c>
      <c r="D350" s="295">
        <v>5373</v>
      </c>
    </row>
    <row r="351" spans="2:4" ht="15.5">
      <c r="B351" s="113" t="s">
        <v>1606</v>
      </c>
      <c r="C351" s="132">
        <v>612</v>
      </c>
      <c r="D351" s="132">
        <v>650</v>
      </c>
    </row>
    <row r="352" spans="2:4" ht="15.5">
      <c r="B352" s="113" t="s">
        <v>1607</v>
      </c>
      <c r="C352" s="132">
        <v>594</v>
      </c>
      <c r="D352" s="132">
        <v>632</v>
      </c>
    </row>
    <row r="353" spans="2:4" ht="15.5">
      <c r="B353" s="113" t="s">
        <v>1608</v>
      </c>
      <c r="C353" s="132">
        <v>843</v>
      </c>
      <c r="D353" s="132">
        <v>847</v>
      </c>
    </row>
    <row r="354" spans="2:4" ht="15.5">
      <c r="B354" s="113" t="s">
        <v>1609</v>
      </c>
      <c r="C354" s="132">
        <v>669</v>
      </c>
      <c r="D354" s="132">
        <v>686</v>
      </c>
    </row>
    <row r="355" spans="2:4" ht="15.5">
      <c r="B355" s="113" t="s">
        <v>1610</v>
      </c>
      <c r="C355" s="132">
        <v>611</v>
      </c>
      <c r="D355" s="132">
        <v>636</v>
      </c>
    </row>
    <row r="356" spans="2:4" ht="15.5">
      <c r="B356" s="294" t="s">
        <v>1611</v>
      </c>
      <c r="C356" s="295">
        <v>3329</v>
      </c>
      <c r="D356" s="295">
        <v>3451</v>
      </c>
    </row>
    <row r="357" spans="2:4" ht="15.5">
      <c r="B357" s="113" t="s">
        <v>1612</v>
      </c>
      <c r="C357" s="132">
        <v>717</v>
      </c>
      <c r="D357" s="132">
        <v>806</v>
      </c>
    </row>
    <row r="358" spans="2:4" ht="15.5">
      <c r="B358" s="113" t="s">
        <v>1613</v>
      </c>
      <c r="C358" s="132">
        <v>522</v>
      </c>
      <c r="D358" s="132">
        <v>509</v>
      </c>
    </row>
    <row r="359" spans="2:4" ht="15.5">
      <c r="B359" s="113" t="s">
        <v>1614</v>
      </c>
      <c r="C359" s="132">
        <v>448</v>
      </c>
      <c r="D359" s="132">
        <v>464</v>
      </c>
    </row>
    <row r="360" spans="2:4" ht="15.5">
      <c r="B360" s="294" t="s">
        <v>1617</v>
      </c>
      <c r="C360" s="295">
        <v>1687</v>
      </c>
      <c r="D360" s="295">
        <v>1779</v>
      </c>
    </row>
    <row r="361" spans="2:4" ht="15.5">
      <c r="B361" s="95" t="s">
        <v>1534</v>
      </c>
      <c r="C361" s="290">
        <v>19965</v>
      </c>
      <c r="D361" s="750">
        <v>20695</v>
      </c>
    </row>
    <row r="362" spans="2:4" ht="15.75" customHeight="1">
      <c r="B362" s="81" t="s">
        <v>265</v>
      </c>
    </row>
    <row r="364" spans="2:4" ht="20.5" customHeight="1">
      <c r="B364" s="88" t="s">
        <v>1627</v>
      </c>
    </row>
    <row r="365" spans="2:4" ht="15.5">
      <c r="B365" s="95" t="s">
        <v>1580</v>
      </c>
      <c r="C365" s="71" t="s">
        <v>256</v>
      </c>
      <c r="D365" s="71" t="s">
        <v>257</v>
      </c>
    </row>
    <row r="366" spans="2:4" ht="15.5">
      <c r="B366" s="113" t="s">
        <v>1581</v>
      </c>
      <c r="C366" s="132">
        <v>75</v>
      </c>
      <c r="D366" s="33">
        <v>89</v>
      </c>
    </row>
    <row r="367" spans="2:4" ht="15.5">
      <c r="B367" s="113" t="s">
        <v>1582</v>
      </c>
      <c r="C367" s="132">
        <v>89</v>
      </c>
      <c r="D367" s="33">
        <v>102</v>
      </c>
    </row>
    <row r="368" spans="2:4" ht="15.5">
      <c r="B368" s="113" t="s">
        <v>1583</v>
      </c>
      <c r="C368" s="132">
        <v>71</v>
      </c>
      <c r="D368" s="33">
        <v>92</v>
      </c>
    </row>
    <row r="369" spans="2:4" ht="15.5">
      <c r="B369" s="113" t="s">
        <v>1584</v>
      </c>
      <c r="C369" s="132">
        <v>185</v>
      </c>
      <c r="D369" s="33">
        <v>191</v>
      </c>
    </row>
    <row r="370" spans="2:4" ht="15.5">
      <c r="B370" s="113" t="s">
        <v>1585</v>
      </c>
      <c r="C370" s="132">
        <v>99</v>
      </c>
      <c r="D370" s="33">
        <v>128</v>
      </c>
    </row>
    <row r="371" spans="2:4" ht="15.5">
      <c r="B371" s="113" t="s">
        <v>1586</v>
      </c>
      <c r="C371" s="132">
        <v>183</v>
      </c>
      <c r="D371" s="33">
        <v>193</v>
      </c>
    </row>
    <row r="372" spans="2:4" ht="15.5">
      <c r="B372" s="113" t="s">
        <v>1587</v>
      </c>
      <c r="C372" s="132">
        <v>72</v>
      </c>
      <c r="D372" s="33">
        <v>83</v>
      </c>
    </row>
    <row r="373" spans="2:4" ht="15.5">
      <c r="B373" s="113" t="s">
        <v>1588</v>
      </c>
      <c r="C373" s="132">
        <v>219</v>
      </c>
      <c r="D373" s="33">
        <v>261</v>
      </c>
    </row>
    <row r="374" spans="2:4" ht="15.5">
      <c r="B374" s="294" t="s">
        <v>1589</v>
      </c>
      <c r="C374" s="296">
        <v>993</v>
      </c>
      <c r="D374" s="755">
        <v>1139</v>
      </c>
    </row>
    <row r="375" spans="2:4" ht="15.5">
      <c r="B375" s="113" t="s">
        <v>1590</v>
      </c>
      <c r="C375" s="132">
        <v>101</v>
      </c>
      <c r="D375" s="33">
        <v>105</v>
      </c>
    </row>
    <row r="376" spans="2:4" ht="15.5">
      <c r="B376" s="113" t="s">
        <v>1591</v>
      </c>
      <c r="C376" s="132">
        <v>87</v>
      </c>
      <c r="D376" s="33">
        <v>100</v>
      </c>
    </row>
    <row r="377" spans="2:4" ht="15.5">
      <c r="B377" s="113" t="s">
        <v>1592</v>
      </c>
      <c r="C377" s="132">
        <v>81</v>
      </c>
      <c r="D377" s="33">
        <v>100</v>
      </c>
    </row>
    <row r="378" spans="2:4" ht="15.5">
      <c r="B378" s="113" t="s">
        <v>1593</v>
      </c>
      <c r="C378" s="132">
        <v>80</v>
      </c>
      <c r="D378" s="33">
        <v>90</v>
      </c>
    </row>
    <row r="379" spans="2:4" ht="15.5">
      <c r="B379" s="113" t="s">
        <v>1594</v>
      </c>
      <c r="C379" s="132">
        <v>131</v>
      </c>
      <c r="D379" s="33">
        <v>130</v>
      </c>
    </row>
    <row r="380" spans="2:4" ht="15.5">
      <c r="B380" s="113" t="s">
        <v>1595</v>
      </c>
      <c r="C380" s="132">
        <v>105</v>
      </c>
      <c r="D380" s="33">
        <v>134</v>
      </c>
    </row>
    <row r="381" spans="2:4" ht="15.5">
      <c r="B381" s="113" t="s">
        <v>1596</v>
      </c>
      <c r="C381" s="132">
        <v>59</v>
      </c>
      <c r="D381" s="33">
        <v>66</v>
      </c>
    </row>
    <row r="382" spans="2:4" ht="15.5">
      <c r="B382" s="294" t="s">
        <v>1597</v>
      </c>
      <c r="C382" s="296">
        <v>644</v>
      </c>
      <c r="D382" s="755">
        <v>725</v>
      </c>
    </row>
    <row r="383" spans="2:4" ht="15.5">
      <c r="B383" s="113" t="s">
        <v>1598</v>
      </c>
      <c r="C383" s="132">
        <v>85</v>
      </c>
      <c r="D383" s="33">
        <v>107</v>
      </c>
    </row>
    <row r="384" spans="2:4" ht="15.5">
      <c r="B384" s="113" t="s">
        <v>1599</v>
      </c>
      <c r="C384" s="132">
        <v>126</v>
      </c>
      <c r="D384" s="33">
        <v>158</v>
      </c>
    </row>
    <row r="385" spans="2:4" ht="15.5">
      <c r="B385" s="113" t="s">
        <v>1600</v>
      </c>
      <c r="C385" s="132">
        <v>99</v>
      </c>
      <c r="D385" s="33">
        <v>98</v>
      </c>
    </row>
    <row r="386" spans="2:4" ht="15.5">
      <c r="B386" s="113" t="s">
        <v>1601</v>
      </c>
      <c r="C386" s="132">
        <v>87</v>
      </c>
      <c r="D386" s="33">
        <v>92</v>
      </c>
    </row>
    <row r="387" spans="2:4" ht="15.5">
      <c r="B387" s="113" t="s">
        <v>1602</v>
      </c>
      <c r="C387" s="132">
        <v>109</v>
      </c>
      <c r="D387" s="33">
        <v>115</v>
      </c>
    </row>
    <row r="388" spans="2:4" ht="15.5">
      <c r="B388" s="113" t="s">
        <v>1603</v>
      </c>
      <c r="C388" s="132">
        <v>72</v>
      </c>
      <c r="D388" s="33">
        <v>93</v>
      </c>
    </row>
    <row r="389" spans="2:4" ht="15.5">
      <c r="B389" s="113" t="s">
        <v>1604</v>
      </c>
      <c r="C389" s="132">
        <v>99</v>
      </c>
      <c r="D389" s="33">
        <v>117</v>
      </c>
    </row>
    <row r="390" spans="2:4" ht="15.5">
      <c r="B390" s="294" t="s">
        <v>1605</v>
      </c>
      <c r="C390" s="296">
        <v>677</v>
      </c>
      <c r="D390" s="755">
        <v>780</v>
      </c>
    </row>
    <row r="391" spans="2:4" ht="15.5">
      <c r="B391" s="113" t="s">
        <v>1606</v>
      </c>
      <c r="C391" s="132">
        <v>90</v>
      </c>
      <c r="D391" s="33">
        <v>106</v>
      </c>
    </row>
    <row r="392" spans="2:4" ht="15.5">
      <c r="B392" s="113" t="s">
        <v>1607</v>
      </c>
      <c r="C392" s="132">
        <v>98</v>
      </c>
      <c r="D392" s="33">
        <v>108</v>
      </c>
    </row>
    <row r="393" spans="2:4" ht="15.5">
      <c r="B393" s="113" t="s">
        <v>1608</v>
      </c>
      <c r="C393" s="132">
        <v>110</v>
      </c>
      <c r="D393" s="33">
        <v>129</v>
      </c>
    </row>
    <row r="394" spans="2:4" ht="15.5">
      <c r="B394" s="113" t="s">
        <v>1609</v>
      </c>
      <c r="C394" s="132">
        <v>141</v>
      </c>
      <c r="D394" s="33">
        <v>161</v>
      </c>
    </row>
    <row r="395" spans="2:4" ht="15.5">
      <c r="B395" s="113" t="s">
        <v>1610</v>
      </c>
      <c r="C395" s="132">
        <v>131</v>
      </c>
      <c r="D395" s="33">
        <v>142</v>
      </c>
    </row>
    <row r="396" spans="2:4" ht="15.5">
      <c r="B396" s="294" t="s">
        <v>1611</v>
      </c>
      <c r="C396" s="296">
        <v>570</v>
      </c>
      <c r="D396" s="755">
        <v>646</v>
      </c>
    </row>
    <row r="397" spans="2:4" ht="15.5">
      <c r="B397" s="113" t="s">
        <v>1612</v>
      </c>
      <c r="C397" s="132">
        <v>113</v>
      </c>
      <c r="D397" s="33">
        <v>146</v>
      </c>
    </row>
    <row r="398" spans="2:4" ht="15.5">
      <c r="B398" s="113" t="s">
        <v>1613</v>
      </c>
      <c r="C398" s="132">
        <v>186</v>
      </c>
      <c r="D398" s="33">
        <v>182</v>
      </c>
    </row>
    <row r="399" spans="2:4" ht="15.5">
      <c r="B399" s="113" t="s">
        <v>1614</v>
      </c>
      <c r="C399" s="132">
        <v>113</v>
      </c>
      <c r="D399" s="33">
        <v>137</v>
      </c>
    </row>
    <row r="400" spans="2:4" ht="15.5">
      <c r="B400" s="297" t="s">
        <v>1617</v>
      </c>
      <c r="C400" s="298">
        <v>412</v>
      </c>
      <c r="D400" s="755">
        <v>461</v>
      </c>
    </row>
    <row r="401" spans="2:8" ht="15.5">
      <c r="B401" s="95" t="s">
        <v>1534</v>
      </c>
      <c r="C401" s="290">
        <v>3296</v>
      </c>
      <c r="D401" s="750">
        <v>3751</v>
      </c>
    </row>
    <row r="402" spans="2:8">
      <c r="B402" s="81" t="s">
        <v>265</v>
      </c>
    </row>
    <row r="403" spans="2:8">
      <c r="B403" s="24" t="s">
        <v>314</v>
      </c>
      <c r="C403" t="s">
        <v>704</v>
      </c>
    </row>
    <row r="404" spans="2:8" ht="17.5" customHeight="1">
      <c r="B404" s="88" t="s">
        <v>1628</v>
      </c>
    </row>
    <row r="405" spans="2:8" ht="15.65" customHeight="1">
      <c r="B405" s="895" t="s">
        <v>1580</v>
      </c>
      <c r="C405" s="888" t="s">
        <v>256</v>
      </c>
      <c r="D405" s="888"/>
      <c r="E405" s="888"/>
      <c r="F405" s="888" t="s">
        <v>257</v>
      </c>
      <c r="G405" s="888"/>
      <c r="H405" s="888"/>
    </row>
    <row r="406" spans="2:8" ht="15.5">
      <c r="B406" s="895"/>
      <c r="C406" s="71" t="s">
        <v>625</v>
      </c>
      <c r="D406" s="71" t="s">
        <v>626</v>
      </c>
      <c r="E406" s="71" t="s">
        <v>415</v>
      </c>
      <c r="F406" s="71" t="s">
        <v>625</v>
      </c>
      <c r="G406" s="71" t="s">
        <v>626</v>
      </c>
      <c r="H406" s="71" t="s">
        <v>415</v>
      </c>
    </row>
    <row r="407" spans="2:8" ht="15.5">
      <c r="B407" s="113" t="s">
        <v>1581</v>
      </c>
      <c r="C407" s="134">
        <v>4458</v>
      </c>
      <c r="D407" s="134">
        <v>4713</v>
      </c>
      <c r="E407" s="134">
        <v>9171</v>
      </c>
      <c r="F407" s="525">
        <v>7407</v>
      </c>
      <c r="G407" s="525">
        <v>7758</v>
      </c>
      <c r="H407" s="525">
        <v>15165</v>
      </c>
    </row>
    <row r="408" spans="2:8" ht="15.5">
      <c r="B408" s="113" t="s">
        <v>1582</v>
      </c>
      <c r="C408" s="134">
        <v>6141</v>
      </c>
      <c r="D408" s="134">
        <v>6180</v>
      </c>
      <c r="E408" s="35">
        <v>12321</v>
      </c>
      <c r="F408" s="525">
        <v>8368</v>
      </c>
      <c r="G408" s="525">
        <v>7898</v>
      </c>
      <c r="H408" s="525">
        <v>16266</v>
      </c>
    </row>
    <row r="409" spans="2:8" ht="15.5">
      <c r="B409" s="113" t="s">
        <v>1583</v>
      </c>
      <c r="C409" s="134">
        <v>8308</v>
      </c>
      <c r="D409" s="134">
        <v>8197</v>
      </c>
      <c r="E409" s="134">
        <v>16505</v>
      </c>
      <c r="F409" s="525">
        <v>11492</v>
      </c>
      <c r="G409" s="525">
        <v>11108</v>
      </c>
      <c r="H409" s="525">
        <v>22600</v>
      </c>
    </row>
    <row r="410" spans="2:8" ht="15.5">
      <c r="B410" s="113" t="s">
        <v>1584</v>
      </c>
      <c r="C410" s="134">
        <v>6779</v>
      </c>
      <c r="D410" s="134">
        <v>6645</v>
      </c>
      <c r="E410" s="134">
        <v>13424</v>
      </c>
      <c r="F410" s="525">
        <v>8252</v>
      </c>
      <c r="G410" s="525">
        <v>8031</v>
      </c>
      <c r="H410" s="525">
        <v>16283</v>
      </c>
    </row>
    <row r="411" spans="2:8" ht="15.5">
      <c r="B411" s="113" t="s">
        <v>1585</v>
      </c>
      <c r="C411" s="134">
        <v>4457</v>
      </c>
      <c r="D411" s="134">
        <v>4593</v>
      </c>
      <c r="E411" s="134">
        <v>9050</v>
      </c>
      <c r="F411" s="525">
        <v>6562</v>
      </c>
      <c r="G411" s="525">
        <v>6547</v>
      </c>
      <c r="H411" s="525">
        <v>13109</v>
      </c>
    </row>
    <row r="412" spans="2:8" ht="15.5">
      <c r="B412" s="113" t="s">
        <v>1586</v>
      </c>
      <c r="C412" s="134">
        <v>6088</v>
      </c>
      <c r="D412" s="134">
        <v>6202</v>
      </c>
      <c r="E412" s="134">
        <v>12290</v>
      </c>
      <c r="F412" s="525">
        <v>8629</v>
      </c>
      <c r="G412" s="525">
        <v>8785</v>
      </c>
      <c r="H412" s="525">
        <v>17414</v>
      </c>
    </row>
    <row r="413" spans="2:8" ht="15.5">
      <c r="B413" s="113" t="s">
        <v>1587</v>
      </c>
      <c r="C413" s="134">
        <v>4645</v>
      </c>
      <c r="D413" s="134">
        <v>5210</v>
      </c>
      <c r="E413" s="134">
        <v>9855</v>
      </c>
      <c r="F413" s="525">
        <v>6673</v>
      </c>
      <c r="G413" s="525">
        <v>7062</v>
      </c>
      <c r="H413" s="525">
        <v>13735</v>
      </c>
    </row>
    <row r="414" spans="2:8" ht="15.5">
      <c r="B414" s="113" t="s">
        <v>1588</v>
      </c>
      <c r="C414" s="134">
        <v>4404</v>
      </c>
      <c r="D414" s="134">
        <v>4341</v>
      </c>
      <c r="E414" s="134">
        <v>8745</v>
      </c>
      <c r="F414" s="525">
        <v>7430</v>
      </c>
      <c r="G414" s="525">
        <v>7425</v>
      </c>
      <c r="H414" s="525">
        <v>14855</v>
      </c>
    </row>
    <row r="415" spans="2:8" ht="15.5">
      <c r="B415" s="259" t="s">
        <v>1589</v>
      </c>
      <c r="C415" s="34">
        <v>45280</v>
      </c>
      <c r="D415" s="34">
        <v>46081</v>
      </c>
      <c r="E415" s="34">
        <v>91361</v>
      </c>
      <c r="F415" s="749">
        <v>64813</v>
      </c>
      <c r="G415" s="749">
        <v>64614</v>
      </c>
      <c r="H415" s="749">
        <v>129427</v>
      </c>
    </row>
    <row r="416" spans="2:8" ht="15.5">
      <c r="B416" s="113" t="s">
        <v>1590</v>
      </c>
      <c r="C416" s="134">
        <v>6464</v>
      </c>
      <c r="D416" s="134">
        <v>6603</v>
      </c>
      <c r="E416" s="134">
        <v>13067</v>
      </c>
      <c r="F416" s="525">
        <v>10266</v>
      </c>
      <c r="G416" s="525">
        <v>10360</v>
      </c>
      <c r="H416" s="525">
        <v>20626</v>
      </c>
    </row>
    <row r="417" spans="2:8" ht="15.5">
      <c r="B417" s="76" t="s">
        <v>1591</v>
      </c>
      <c r="C417" s="35">
        <v>6135</v>
      </c>
      <c r="D417" s="35">
        <v>6328</v>
      </c>
      <c r="E417" s="35">
        <v>12463</v>
      </c>
      <c r="F417" s="525">
        <v>8814</v>
      </c>
      <c r="G417" s="525">
        <v>8854</v>
      </c>
      <c r="H417" s="525">
        <v>17668</v>
      </c>
    </row>
    <row r="418" spans="2:8" ht="15.5">
      <c r="B418" s="113" t="s">
        <v>1592</v>
      </c>
      <c r="C418" s="134">
        <v>3974</v>
      </c>
      <c r="D418" s="134">
        <v>4092</v>
      </c>
      <c r="E418" s="134">
        <v>8066</v>
      </c>
      <c r="F418" s="525">
        <v>6046</v>
      </c>
      <c r="G418" s="525">
        <v>6001</v>
      </c>
      <c r="H418" s="525">
        <v>12047</v>
      </c>
    </row>
    <row r="419" spans="2:8" ht="15.5">
      <c r="B419" s="113" t="s">
        <v>1593</v>
      </c>
      <c r="C419" s="134">
        <v>5711</v>
      </c>
      <c r="D419" s="134">
        <v>5723</v>
      </c>
      <c r="E419" s="134">
        <v>11434</v>
      </c>
      <c r="F419" s="525">
        <v>7964</v>
      </c>
      <c r="G419" s="525">
        <v>8052</v>
      </c>
      <c r="H419" s="525">
        <v>16016</v>
      </c>
    </row>
    <row r="420" spans="2:8" ht="15.5">
      <c r="B420" s="113" t="s">
        <v>1594</v>
      </c>
      <c r="C420" s="134">
        <v>5165</v>
      </c>
      <c r="D420" s="134">
        <v>5184</v>
      </c>
      <c r="E420" s="134">
        <v>10349</v>
      </c>
      <c r="F420" s="525">
        <v>8294</v>
      </c>
      <c r="G420" s="525">
        <v>8667</v>
      </c>
      <c r="H420" s="525">
        <v>16961</v>
      </c>
    </row>
    <row r="421" spans="2:8" ht="15.5">
      <c r="B421" s="113" t="s">
        <v>1595</v>
      </c>
      <c r="C421" s="134">
        <v>6323</v>
      </c>
      <c r="D421" s="134">
        <v>6365</v>
      </c>
      <c r="E421" s="134">
        <v>12688</v>
      </c>
      <c r="F421" s="525">
        <v>10658</v>
      </c>
      <c r="G421" s="525">
        <v>10613</v>
      </c>
      <c r="H421" s="525">
        <v>21271</v>
      </c>
    </row>
    <row r="422" spans="2:8" ht="15.5">
      <c r="B422" s="113" t="s">
        <v>1596</v>
      </c>
      <c r="C422" s="134">
        <v>3930</v>
      </c>
      <c r="D422" s="134">
        <v>3953</v>
      </c>
      <c r="E422" s="134">
        <v>7883</v>
      </c>
      <c r="F422" s="525">
        <v>6609</v>
      </c>
      <c r="G422" s="525">
        <v>6649</v>
      </c>
      <c r="H422" s="525">
        <v>13258</v>
      </c>
    </row>
    <row r="423" spans="2:8" ht="15.5">
      <c r="B423" s="259" t="s">
        <v>1597</v>
      </c>
      <c r="C423" s="34">
        <v>37702</v>
      </c>
      <c r="D423" s="34">
        <v>38248</v>
      </c>
      <c r="E423" s="34">
        <v>75950</v>
      </c>
      <c r="F423" s="749">
        <v>58651</v>
      </c>
      <c r="G423" s="749">
        <v>59196</v>
      </c>
      <c r="H423" s="749">
        <v>117847</v>
      </c>
    </row>
    <row r="424" spans="2:8" ht="15.5">
      <c r="B424" s="113" t="s">
        <v>1598</v>
      </c>
      <c r="C424" s="134">
        <v>6525</v>
      </c>
      <c r="D424" s="134">
        <v>6632</v>
      </c>
      <c r="E424" s="134">
        <v>13157</v>
      </c>
      <c r="F424" s="525">
        <v>12070</v>
      </c>
      <c r="G424" s="525">
        <v>12337</v>
      </c>
      <c r="H424" s="525">
        <v>24407</v>
      </c>
    </row>
    <row r="425" spans="2:8" ht="15.5">
      <c r="B425" s="113" t="s">
        <v>1599</v>
      </c>
      <c r="C425" s="134">
        <v>8155</v>
      </c>
      <c r="D425" s="134">
        <v>8419</v>
      </c>
      <c r="E425" s="134">
        <v>16574</v>
      </c>
      <c r="F425" s="525">
        <v>14327</v>
      </c>
      <c r="G425" s="525">
        <v>14043</v>
      </c>
      <c r="H425" s="525">
        <v>28370</v>
      </c>
    </row>
    <row r="426" spans="2:8" ht="15.5">
      <c r="B426" s="113" t="s">
        <v>1600</v>
      </c>
      <c r="C426" s="134">
        <v>2933</v>
      </c>
      <c r="D426" s="134">
        <v>3116</v>
      </c>
      <c r="E426" s="134">
        <v>6049</v>
      </c>
      <c r="F426" s="525">
        <v>6037</v>
      </c>
      <c r="G426" s="525">
        <v>6069</v>
      </c>
      <c r="H426" s="525">
        <v>12106</v>
      </c>
    </row>
    <row r="427" spans="2:8" ht="15.5">
      <c r="B427" s="113" t="s">
        <v>1601</v>
      </c>
      <c r="C427" s="134">
        <v>5242</v>
      </c>
      <c r="D427" s="134">
        <v>5370</v>
      </c>
      <c r="E427" s="134">
        <v>10612</v>
      </c>
      <c r="F427" s="525">
        <v>8680</v>
      </c>
      <c r="G427" s="525">
        <v>8357</v>
      </c>
      <c r="H427" s="525">
        <v>17037</v>
      </c>
    </row>
    <row r="428" spans="2:8" ht="15.5">
      <c r="B428" s="113" t="s">
        <v>1602</v>
      </c>
      <c r="C428" s="134">
        <v>4755</v>
      </c>
      <c r="D428" s="134">
        <v>4874</v>
      </c>
      <c r="E428" s="134">
        <v>9629</v>
      </c>
      <c r="F428" s="525">
        <v>7807</v>
      </c>
      <c r="G428" s="525">
        <v>7894</v>
      </c>
      <c r="H428" s="525">
        <v>15701</v>
      </c>
    </row>
    <row r="429" spans="2:8" ht="15.5">
      <c r="B429" s="113" t="s">
        <v>1603</v>
      </c>
      <c r="C429" s="134">
        <v>8804</v>
      </c>
      <c r="D429" s="134">
        <v>8530</v>
      </c>
      <c r="E429" s="134">
        <v>17334</v>
      </c>
      <c r="F429" s="525">
        <v>16127</v>
      </c>
      <c r="G429" s="525">
        <v>15790</v>
      </c>
      <c r="H429" s="525">
        <v>31917</v>
      </c>
    </row>
    <row r="430" spans="2:8" ht="15.5">
      <c r="B430" s="113" t="s">
        <v>1604</v>
      </c>
      <c r="C430" s="134">
        <v>4977</v>
      </c>
      <c r="D430" s="134">
        <v>4785</v>
      </c>
      <c r="E430" s="134">
        <v>9762</v>
      </c>
      <c r="F430" s="525">
        <v>8018</v>
      </c>
      <c r="G430" s="525">
        <v>7949</v>
      </c>
      <c r="H430" s="525">
        <v>15967</v>
      </c>
    </row>
    <row r="431" spans="2:8" ht="15.5">
      <c r="B431" s="259" t="s">
        <v>1605</v>
      </c>
      <c r="C431" s="34">
        <v>41391</v>
      </c>
      <c r="D431" s="34">
        <v>41726</v>
      </c>
      <c r="E431" s="34">
        <v>83117</v>
      </c>
      <c r="F431" s="749">
        <v>73066</v>
      </c>
      <c r="G431" s="749">
        <v>72439</v>
      </c>
      <c r="H431" s="749">
        <v>145505</v>
      </c>
    </row>
    <row r="432" spans="2:8" ht="15.5">
      <c r="B432" s="113" t="s">
        <v>1606</v>
      </c>
      <c r="C432" s="134">
        <v>4886</v>
      </c>
      <c r="D432" s="134">
        <v>5139</v>
      </c>
      <c r="E432" s="134">
        <v>10025</v>
      </c>
      <c r="F432" s="525">
        <v>8215</v>
      </c>
      <c r="G432" s="525">
        <v>8168</v>
      </c>
      <c r="H432" s="525">
        <v>16383</v>
      </c>
    </row>
    <row r="433" spans="2:8" ht="15.5">
      <c r="B433" s="113" t="s">
        <v>1607</v>
      </c>
      <c r="C433" s="134">
        <v>5104</v>
      </c>
      <c r="D433" s="134">
        <v>4983</v>
      </c>
      <c r="E433" s="134">
        <v>10087</v>
      </c>
      <c r="F433" s="525">
        <v>7421</v>
      </c>
      <c r="G433" s="525">
        <v>7153</v>
      </c>
      <c r="H433" s="525">
        <v>14574</v>
      </c>
    </row>
    <row r="434" spans="2:8" ht="15.5">
      <c r="B434" s="113" t="s">
        <v>1608</v>
      </c>
      <c r="C434" s="134">
        <v>7154</v>
      </c>
      <c r="D434" s="134">
        <v>7104</v>
      </c>
      <c r="E434" s="134">
        <v>14258</v>
      </c>
      <c r="F434" s="525">
        <v>10310</v>
      </c>
      <c r="G434" s="525">
        <v>10031</v>
      </c>
      <c r="H434" s="525">
        <v>20341</v>
      </c>
    </row>
    <row r="435" spans="2:8" ht="15.5">
      <c r="B435" s="113" t="s">
        <v>1609</v>
      </c>
      <c r="C435" s="134">
        <v>7602</v>
      </c>
      <c r="D435" s="134">
        <v>7229</v>
      </c>
      <c r="E435" s="134">
        <v>14831</v>
      </c>
      <c r="F435" s="525">
        <v>13232</v>
      </c>
      <c r="G435" s="525">
        <v>12859</v>
      </c>
      <c r="H435" s="525">
        <v>26091</v>
      </c>
    </row>
    <row r="436" spans="2:8" ht="15.5">
      <c r="B436" s="113" t="s">
        <v>1610</v>
      </c>
      <c r="C436" s="134">
        <v>6282</v>
      </c>
      <c r="D436" s="134">
        <v>6166</v>
      </c>
      <c r="E436" s="134">
        <v>12448</v>
      </c>
      <c r="F436" s="525">
        <v>8037</v>
      </c>
      <c r="G436" s="525">
        <v>7824</v>
      </c>
      <c r="H436" s="525">
        <v>15861</v>
      </c>
    </row>
    <row r="437" spans="2:8" ht="15.5">
      <c r="B437" s="259" t="s">
        <v>1611</v>
      </c>
      <c r="C437" s="34">
        <v>31028</v>
      </c>
      <c r="D437" s="34">
        <v>30621</v>
      </c>
      <c r="E437" s="34">
        <v>61649</v>
      </c>
      <c r="F437" s="749">
        <v>47215</v>
      </c>
      <c r="G437" s="749">
        <v>46035</v>
      </c>
      <c r="H437" s="749">
        <v>93250</v>
      </c>
    </row>
    <row r="438" spans="2:8" ht="15.5">
      <c r="B438" s="113" t="s">
        <v>1612</v>
      </c>
      <c r="C438" s="134">
        <v>11666</v>
      </c>
      <c r="D438" s="134">
        <v>10853</v>
      </c>
      <c r="E438" s="134">
        <v>22519</v>
      </c>
      <c r="F438" s="525">
        <v>14918</v>
      </c>
      <c r="G438" s="525">
        <v>14136</v>
      </c>
      <c r="H438" s="525">
        <v>29054</v>
      </c>
    </row>
    <row r="439" spans="2:8" ht="15.5">
      <c r="B439" s="113" t="s">
        <v>1613</v>
      </c>
      <c r="C439" s="134">
        <v>6208</v>
      </c>
      <c r="D439" s="134">
        <v>6014</v>
      </c>
      <c r="E439" s="134">
        <v>12222</v>
      </c>
      <c r="F439" s="525">
        <v>7344</v>
      </c>
      <c r="G439" s="525">
        <v>7086</v>
      </c>
      <c r="H439" s="525">
        <v>14430</v>
      </c>
    </row>
    <row r="440" spans="2:8" ht="15.5">
      <c r="B440" s="113" t="s">
        <v>1614</v>
      </c>
      <c r="C440" s="134">
        <v>4248</v>
      </c>
      <c r="D440" s="134">
        <v>4259</v>
      </c>
      <c r="E440" s="134">
        <v>8507</v>
      </c>
      <c r="F440" s="525">
        <v>5837</v>
      </c>
      <c r="G440" s="525">
        <v>5648</v>
      </c>
      <c r="H440" s="525">
        <v>11485</v>
      </c>
    </row>
    <row r="441" spans="2:8" ht="15.5">
      <c r="B441" s="259" t="s">
        <v>1615</v>
      </c>
      <c r="C441" s="34">
        <v>22122</v>
      </c>
      <c r="D441" s="34">
        <v>21126</v>
      </c>
      <c r="E441" s="34">
        <v>43248</v>
      </c>
      <c r="F441" s="525">
        <v>28099</v>
      </c>
      <c r="G441" s="525">
        <v>26870</v>
      </c>
      <c r="H441" s="525">
        <v>54969</v>
      </c>
    </row>
    <row r="442" spans="2:8" ht="15.5">
      <c r="B442" s="95" t="s">
        <v>1534</v>
      </c>
      <c r="C442" s="290">
        <v>177523</v>
      </c>
      <c r="D442" s="290">
        <v>177802</v>
      </c>
      <c r="E442" s="290">
        <v>355325</v>
      </c>
      <c r="F442" s="748">
        <v>271844</v>
      </c>
      <c r="G442" s="748">
        <v>269154</v>
      </c>
      <c r="H442" s="748">
        <v>540998</v>
      </c>
    </row>
    <row r="443" spans="2:8">
      <c r="B443" s="81" t="s">
        <v>265</v>
      </c>
    </row>
    <row r="444" spans="2:8">
      <c r="B444" s="1"/>
    </row>
    <row r="445" spans="2:8" ht="15.65" customHeight="1">
      <c r="B445" s="88" t="s">
        <v>1629</v>
      </c>
    </row>
    <row r="446" spans="2:8" ht="15.65" customHeight="1">
      <c r="B446" s="889" t="s">
        <v>1580</v>
      </c>
      <c r="C446" s="888" t="s">
        <v>687</v>
      </c>
      <c r="D446" s="888"/>
      <c r="E446" s="888"/>
      <c r="F446" s="888" t="s">
        <v>257</v>
      </c>
      <c r="G446" s="888"/>
      <c r="H446" s="888"/>
    </row>
    <row r="447" spans="2:8" ht="15.5">
      <c r="B447" s="889"/>
      <c r="C447" s="71" t="s">
        <v>625</v>
      </c>
      <c r="D447" s="71" t="s">
        <v>626</v>
      </c>
      <c r="E447" s="71" t="s">
        <v>415</v>
      </c>
      <c r="F447" s="71" t="s">
        <v>625</v>
      </c>
      <c r="G447" s="71" t="s">
        <v>626</v>
      </c>
      <c r="H447" s="71" t="s">
        <v>415</v>
      </c>
    </row>
    <row r="448" spans="2:8" ht="15.5">
      <c r="B448" s="299" t="s">
        <v>1581</v>
      </c>
      <c r="C448" s="134">
        <v>43436</v>
      </c>
      <c r="D448" s="134">
        <v>42959</v>
      </c>
      <c r="E448" s="134">
        <v>86395</v>
      </c>
      <c r="F448" s="134">
        <v>43506</v>
      </c>
      <c r="G448" s="134">
        <v>42207</v>
      </c>
      <c r="H448" s="134">
        <v>85713</v>
      </c>
    </row>
    <row r="449" spans="2:8" ht="15.5">
      <c r="B449" s="299" t="s">
        <v>1582</v>
      </c>
      <c r="C449" s="134">
        <v>38069</v>
      </c>
      <c r="D449" s="134">
        <v>37080</v>
      </c>
      <c r="E449" s="134">
        <v>75149</v>
      </c>
      <c r="F449" s="134">
        <v>37808</v>
      </c>
      <c r="G449" s="134">
        <v>36591</v>
      </c>
      <c r="H449" s="134">
        <v>74399</v>
      </c>
    </row>
    <row r="450" spans="2:8" ht="15.5">
      <c r="B450" s="299" t="s">
        <v>1583</v>
      </c>
      <c r="C450" s="134">
        <v>49069</v>
      </c>
      <c r="D450" s="134">
        <v>47260</v>
      </c>
      <c r="E450" s="134">
        <v>96329</v>
      </c>
      <c r="F450" s="134">
        <v>49237</v>
      </c>
      <c r="G450" s="134">
        <v>46366</v>
      </c>
      <c r="H450" s="134">
        <v>95603</v>
      </c>
    </row>
    <row r="451" spans="2:8" ht="15.5">
      <c r="B451" s="299" t="s">
        <v>1584</v>
      </c>
      <c r="C451" s="134">
        <v>35768</v>
      </c>
      <c r="D451" s="134">
        <v>34219</v>
      </c>
      <c r="E451" s="134">
        <v>69987</v>
      </c>
      <c r="F451" s="134">
        <v>35121</v>
      </c>
      <c r="G451" s="134">
        <v>33170</v>
      </c>
      <c r="H451" s="134">
        <v>68291</v>
      </c>
    </row>
    <row r="452" spans="2:8" ht="15.5">
      <c r="B452" s="299" t="s">
        <v>1585</v>
      </c>
      <c r="C452" s="134">
        <v>43288</v>
      </c>
      <c r="D452" s="134">
        <v>41682</v>
      </c>
      <c r="E452" s="134">
        <v>84970</v>
      </c>
      <c r="F452" s="134">
        <v>44699</v>
      </c>
      <c r="G452" s="134">
        <v>42706</v>
      </c>
      <c r="H452" s="134">
        <v>87405</v>
      </c>
    </row>
    <row r="453" spans="2:8" ht="15.5">
      <c r="B453" s="299" t="s">
        <v>1586</v>
      </c>
      <c r="C453" s="134">
        <v>39478</v>
      </c>
      <c r="D453" s="134">
        <v>39722</v>
      </c>
      <c r="E453" s="134">
        <v>79200</v>
      </c>
      <c r="F453" s="134">
        <v>39344</v>
      </c>
      <c r="G453" s="134">
        <v>38458</v>
      </c>
      <c r="H453" s="134">
        <v>77802</v>
      </c>
    </row>
    <row r="454" spans="2:8" ht="15.5">
      <c r="B454" s="299" t="s">
        <v>1587</v>
      </c>
      <c r="C454" s="134">
        <v>39124</v>
      </c>
      <c r="D454" s="134">
        <v>38605</v>
      </c>
      <c r="E454" s="134">
        <v>77729</v>
      </c>
      <c r="F454" s="134">
        <v>40184</v>
      </c>
      <c r="G454" s="134">
        <v>38937</v>
      </c>
      <c r="H454" s="134">
        <v>79121</v>
      </c>
    </row>
    <row r="455" spans="2:8" ht="15.5">
      <c r="B455" s="299" t="s">
        <v>1588</v>
      </c>
      <c r="C455" s="134">
        <v>40702</v>
      </c>
      <c r="D455" s="134">
        <v>38153</v>
      </c>
      <c r="E455" s="134">
        <v>78855</v>
      </c>
      <c r="F455" s="134">
        <v>41463</v>
      </c>
      <c r="G455" s="134">
        <v>38647</v>
      </c>
      <c r="H455" s="134">
        <v>80110</v>
      </c>
    </row>
    <row r="456" spans="2:8" ht="15.5">
      <c r="B456" s="266" t="s">
        <v>1589</v>
      </c>
      <c r="C456" s="34">
        <v>328934</v>
      </c>
      <c r="D456" s="34">
        <v>319680</v>
      </c>
      <c r="E456" s="191">
        <v>648614</v>
      </c>
      <c r="F456" s="34">
        <v>331362</v>
      </c>
      <c r="G456" s="34">
        <v>317082</v>
      </c>
      <c r="H456" s="191">
        <v>648444</v>
      </c>
    </row>
    <row r="457" spans="2:8" ht="15.5">
      <c r="B457" s="299" t="s">
        <v>1590</v>
      </c>
      <c r="C457" s="134">
        <v>43811</v>
      </c>
      <c r="D457" s="134">
        <v>41149</v>
      </c>
      <c r="E457" s="134">
        <v>84960</v>
      </c>
      <c r="F457" s="134">
        <v>44255</v>
      </c>
      <c r="G457" s="134">
        <v>41034</v>
      </c>
      <c r="H457" s="134">
        <v>85289</v>
      </c>
    </row>
    <row r="458" spans="2:8" ht="15.5">
      <c r="B458" s="299" t="s">
        <v>1591</v>
      </c>
      <c r="C458" s="134">
        <v>42818</v>
      </c>
      <c r="D458" s="134">
        <v>42587</v>
      </c>
      <c r="E458" s="134">
        <v>85405</v>
      </c>
      <c r="F458" s="134">
        <v>46959</v>
      </c>
      <c r="G458" s="134">
        <v>45488</v>
      </c>
      <c r="H458" s="134">
        <v>92447</v>
      </c>
    </row>
    <row r="459" spans="2:8" ht="15.5">
      <c r="B459" s="299" t="s">
        <v>1592</v>
      </c>
      <c r="C459" s="134">
        <v>35981</v>
      </c>
      <c r="D459" s="134">
        <v>36684</v>
      </c>
      <c r="E459" s="134">
        <v>72665</v>
      </c>
      <c r="F459" s="134">
        <v>38145</v>
      </c>
      <c r="G459" s="134">
        <v>38406</v>
      </c>
      <c r="H459" s="134">
        <v>76551</v>
      </c>
    </row>
    <row r="460" spans="2:8" ht="15.5">
      <c r="B460" s="299" t="s">
        <v>1593</v>
      </c>
      <c r="C460" s="134">
        <v>52565</v>
      </c>
      <c r="D460" s="134">
        <v>51176</v>
      </c>
      <c r="E460" s="134">
        <v>103741</v>
      </c>
      <c r="F460" s="134">
        <v>56893</v>
      </c>
      <c r="G460" s="134">
        <v>54199</v>
      </c>
      <c r="H460" s="134">
        <v>111092</v>
      </c>
    </row>
    <row r="461" spans="2:8" ht="15.5">
      <c r="B461" s="299" t="s">
        <v>1594</v>
      </c>
      <c r="C461" s="134">
        <v>54065</v>
      </c>
      <c r="D461" s="134">
        <v>54453</v>
      </c>
      <c r="E461" s="134">
        <v>108518</v>
      </c>
      <c r="F461" s="134">
        <v>55948</v>
      </c>
      <c r="G461" s="134">
        <v>55146</v>
      </c>
      <c r="H461" s="134">
        <v>111094</v>
      </c>
    </row>
    <row r="462" spans="2:8" ht="15.5">
      <c r="B462" s="299" t="s">
        <v>1595</v>
      </c>
      <c r="C462" s="134">
        <v>54129</v>
      </c>
      <c r="D462" s="134">
        <v>52071</v>
      </c>
      <c r="E462" s="134">
        <v>106200</v>
      </c>
      <c r="F462" s="134">
        <v>59516</v>
      </c>
      <c r="G462" s="134">
        <v>56211</v>
      </c>
      <c r="H462" s="134">
        <v>115727</v>
      </c>
    </row>
    <row r="463" spans="2:8" ht="15.5">
      <c r="B463" s="299" t="s">
        <v>1596</v>
      </c>
      <c r="C463" s="134">
        <v>41982</v>
      </c>
      <c r="D463" s="134">
        <v>40986</v>
      </c>
      <c r="E463" s="134">
        <v>82968</v>
      </c>
      <c r="F463" s="134">
        <v>43057</v>
      </c>
      <c r="G463" s="134">
        <v>41759</v>
      </c>
      <c r="H463" s="134">
        <v>84816</v>
      </c>
    </row>
    <row r="464" spans="2:8" ht="15.5">
      <c r="B464" s="266" t="s">
        <v>1597</v>
      </c>
      <c r="C464" s="34">
        <v>325351</v>
      </c>
      <c r="D464" s="34">
        <v>319106</v>
      </c>
      <c r="E464" s="191">
        <v>644457</v>
      </c>
      <c r="F464" s="34">
        <v>344773</v>
      </c>
      <c r="G464" s="34">
        <v>332243</v>
      </c>
      <c r="H464" s="191">
        <v>677016</v>
      </c>
    </row>
    <row r="465" spans="2:8" ht="15.5">
      <c r="B465" s="299" t="s">
        <v>1598</v>
      </c>
      <c r="C465" s="134">
        <v>60705</v>
      </c>
      <c r="D465" s="134">
        <v>59496</v>
      </c>
      <c r="E465" s="134">
        <v>120201</v>
      </c>
      <c r="F465" s="134">
        <v>64648</v>
      </c>
      <c r="G465" s="134">
        <v>62234</v>
      </c>
      <c r="H465" s="134">
        <v>126882</v>
      </c>
    </row>
    <row r="466" spans="2:8" ht="15.5">
      <c r="B466" s="299" t="s">
        <v>1599</v>
      </c>
      <c r="C466" s="134">
        <v>61185</v>
      </c>
      <c r="D466" s="134">
        <v>61937</v>
      </c>
      <c r="E466" s="134">
        <v>123122</v>
      </c>
      <c r="F466" s="134">
        <v>65404</v>
      </c>
      <c r="G466" s="134">
        <v>64703</v>
      </c>
      <c r="H466" s="134">
        <v>130107</v>
      </c>
    </row>
    <row r="467" spans="2:8" ht="15.5">
      <c r="B467" s="299" t="s">
        <v>1600</v>
      </c>
      <c r="C467" s="134">
        <v>52823</v>
      </c>
      <c r="D467" s="134">
        <v>52020</v>
      </c>
      <c r="E467" s="134">
        <v>104843</v>
      </c>
      <c r="F467" s="134">
        <v>55161</v>
      </c>
      <c r="G467" s="134">
        <v>53302</v>
      </c>
      <c r="H467" s="134">
        <v>108463</v>
      </c>
    </row>
    <row r="468" spans="2:8" ht="15.5">
      <c r="B468" s="299" t="s">
        <v>1601</v>
      </c>
      <c r="C468" s="134">
        <v>55390</v>
      </c>
      <c r="D468" s="134">
        <v>53519</v>
      </c>
      <c r="E468" s="134">
        <v>108909</v>
      </c>
      <c r="F468" s="134">
        <v>55621</v>
      </c>
      <c r="G468" s="134">
        <v>53185</v>
      </c>
      <c r="H468" s="134">
        <v>108806</v>
      </c>
    </row>
    <row r="469" spans="2:8" ht="15.5">
      <c r="B469" s="299" t="s">
        <v>1602</v>
      </c>
      <c r="C469" s="134">
        <v>44390</v>
      </c>
      <c r="D469" s="134">
        <v>43403</v>
      </c>
      <c r="E469" s="134">
        <v>87793</v>
      </c>
      <c r="F469" s="134">
        <v>45888</v>
      </c>
      <c r="G469" s="134">
        <v>44094</v>
      </c>
      <c r="H469" s="134">
        <v>89982</v>
      </c>
    </row>
    <row r="470" spans="2:8" ht="15.5">
      <c r="B470" s="299" t="s">
        <v>1603</v>
      </c>
      <c r="C470" s="134">
        <v>66808</v>
      </c>
      <c r="D470" s="134">
        <v>66363</v>
      </c>
      <c r="E470" s="134">
        <v>133171</v>
      </c>
      <c r="F470" s="134">
        <v>73274</v>
      </c>
      <c r="G470" s="134">
        <v>71679</v>
      </c>
      <c r="H470" s="134">
        <v>144953</v>
      </c>
    </row>
    <row r="471" spans="2:8" ht="15.5">
      <c r="B471" s="299" t="s">
        <v>1604</v>
      </c>
      <c r="C471" s="134">
        <v>48886</v>
      </c>
      <c r="D471" s="134">
        <v>48119</v>
      </c>
      <c r="E471" s="134">
        <v>97005</v>
      </c>
      <c r="F471" s="134">
        <v>52312</v>
      </c>
      <c r="G471" s="134">
        <v>50094</v>
      </c>
      <c r="H471" s="134">
        <v>102406</v>
      </c>
    </row>
    <row r="472" spans="2:8" ht="15.5">
      <c r="B472" s="266" t="s">
        <v>1605</v>
      </c>
      <c r="C472" s="34">
        <v>390187</v>
      </c>
      <c r="D472" s="34">
        <v>384857</v>
      </c>
      <c r="E472" s="191">
        <v>775044</v>
      </c>
      <c r="F472" s="34">
        <v>412308</v>
      </c>
      <c r="G472" s="34">
        <v>399291</v>
      </c>
      <c r="H472" s="191">
        <v>811599</v>
      </c>
    </row>
    <row r="473" spans="2:8" ht="15.5">
      <c r="B473" s="299" t="s">
        <v>1606</v>
      </c>
      <c r="C473" s="134">
        <v>44073</v>
      </c>
      <c r="D473" s="134">
        <v>45118</v>
      </c>
      <c r="E473" s="134">
        <v>89191</v>
      </c>
      <c r="F473" s="134">
        <v>46773</v>
      </c>
      <c r="G473" s="134">
        <v>46974</v>
      </c>
      <c r="H473" s="134">
        <v>93747</v>
      </c>
    </row>
    <row r="474" spans="2:8" ht="15.5">
      <c r="B474" s="299" t="s">
        <v>1607</v>
      </c>
      <c r="C474" s="134">
        <v>38101</v>
      </c>
      <c r="D474" s="134">
        <v>36845</v>
      </c>
      <c r="E474" s="134">
        <v>74946</v>
      </c>
      <c r="F474" s="134">
        <v>38147</v>
      </c>
      <c r="G474" s="134">
        <v>36083</v>
      </c>
      <c r="H474" s="134">
        <v>74230</v>
      </c>
    </row>
    <row r="475" spans="2:8" ht="15.5">
      <c r="B475" s="299" t="s">
        <v>1608</v>
      </c>
      <c r="C475" s="134">
        <v>46727</v>
      </c>
      <c r="D475" s="134">
        <v>45889</v>
      </c>
      <c r="E475" s="134">
        <v>92616</v>
      </c>
      <c r="F475" s="134">
        <v>49817</v>
      </c>
      <c r="G475" s="134">
        <v>47565</v>
      </c>
      <c r="H475" s="134">
        <v>97382</v>
      </c>
    </row>
    <row r="476" spans="2:8" ht="15.5">
      <c r="B476" s="299" t="s">
        <v>1609</v>
      </c>
      <c r="C476" s="134">
        <v>46347</v>
      </c>
      <c r="D476" s="134">
        <v>46071</v>
      </c>
      <c r="E476" s="134">
        <v>92418</v>
      </c>
      <c r="F476" s="134">
        <v>48992</v>
      </c>
      <c r="G476" s="134">
        <v>47447</v>
      </c>
      <c r="H476" s="134">
        <v>96439</v>
      </c>
    </row>
    <row r="477" spans="2:8" ht="15.5">
      <c r="B477" s="299" t="s">
        <v>1610</v>
      </c>
      <c r="C477" s="134">
        <v>35071</v>
      </c>
      <c r="D477" s="134">
        <v>34395</v>
      </c>
      <c r="E477" s="134">
        <v>69466</v>
      </c>
      <c r="F477" s="134">
        <v>36325</v>
      </c>
      <c r="G477" s="134">
        <v>35178</v>
      </c>
      <c r="H477" s="134">
        <v>71503</v>
      </c>
    </row>
    <row r="478" spans="2:8" ht="15.5">
      <c r="B478" s="266" t="s">
        <v>1611</v>
      </c>
      <c r="C478" s="34">
        <v>210319</v>
      </c>
      <c r="D478" s="34">
        <v>208318</v>
      </c>
      <c r="E478" s="191">
        <v>418637</v>
      </c>
      <c r="F478" s="34">
        <v>220054</v>
      </c>
      <c r="G478" s="34">
        <v>213247</v>
      </c>
      <c r="H478" s="191">
        <v>433301</v>
      </c>
    </row>
    <row r="479" spans="2:8" ht="15.5">
      <c r="B479" s="299" t="s">
        <v>1612</v>
      </c>
      <c r="C479" s="134">
        <v>68091</v>
      </c>
      <c r="D479" s="134">
        <v>66646</v>
      </c>
      <c r="E479" s="134">
        <v>134737</v>
      </c>
      <c r="F479" s="134">
        <v>72150</v>
      </c>
      <c r="G479" s="134">
        <v>68854</v>
      </c>
      <c r="H479" s="134">
        <v>141004</v>
      </c>
    </row>
    <row r="480" spans="2:8" ht="15.5">
      <c r="B480" s="299" t="s">
        <v>1613</v>
      </c>
      <c r="C480" s="134">
        <v>32404</v>
      </c>
      <c r="D480" s="134">
        <v>31341</v>
      </c>
      <c r="E480" s="134">
        <v>63745</v>
      </c>
      <c r="F480" s="134">
        <v>33870</v>
      </c>
      <c r="G480" s="134">
        <v>32215</v>
      </c>
      <c r="H480" s="134">
        <v>66085</v>
      </c>
    </row>
    <row r="481" spans="2:8" ht="15.5">
      <c r="B481" s="299" t="s">
        <v>1614</v>
      </c>
      <c r="C481" s="134">
        <v>29046</v>
      </c>
      <c r="D481" s="134">
        <v>28271</v>
      </c>
      <c r="E481" s="134">
        <v>57317</v>
      </c>
      <c r="F481" s="134">
        <v>30895</v>
      </c>
      <c r="G481" s="134">
        <v>29999</v>
      </c>
      <c r="H481" s="134">
        <v>60894</v>
      </c>
    </row>
    <row r="482" spans="2:8" ht="15.5">
      <c r="B482" s="266" t="s">
        <v>1617</v>
      </c>
      <c r="C482" s="34">
        <v>129541</v>
      </c>
      <c r="D482" s="34">
        <v>126258</v>
      </c>
      <c r="E482" s="191">
        <v>255799</v>
      </c>
      <c r="F482" s="34">
        <v>136915</v>
      </c>
      <c r="G482" s="34">
        <v>131068</v>
      </c>
      <c r="H482" s="191">
        <v>267983</v>
      </c>
    </row>
    <row r="483" spans="2:8" ht="15.5">
      <c r="B483" s="77" t="s">
        <v>1534</v>
      </c>
      <c r="C483" s="290">
        <v>1384332</v>
      </c>
      <c r="D483" s="290">
        <v>1358219</v>
      </c>
      <c r="E483" s="300">
        <v>2742551</v>
      </c>
      <c r="F483" s="290">
        <v>1445412</v>
      </c>
      <c r="G483" s="290">
        <v>1392931</v>
      </c>
      <c r="H483" s="300">
        <v>2838343</v>
      </c>
    </row>
    <row r="484" spans="2:8">
      <c r="B484" s="89" t="s">
        <v>265</v>
      </c>
    </row>
    <row r="485" spans="2:8">
      <c r="B485" s="1"/>
    </row>
    <row r="486" spans="2:8" ht="16.5" customHeight="1">
      <c r="B486" s="88" t="s">
        <v>1630</v>
      </c>
    </row>
    <row r="487" spans="2:8" ht="15.65" customHeight="1">
      <c r="B487" s="889" t="s">
        <v>1580</v>
      </c>
      <c r="C487" s="888" t="s">
        <v>687</v>
      </c>
      <c r="D487" s="888"/>
      <c r="E487" s="888"/>
      <c r="F487" s="888" t="s">
        <v>257</v>
      </c>
      <c r="G487" s="888"/>
      <c r="H487" s="888"/>
    </row>
    <row r="488" spans="2:8" ht="15.5">
      <c r="B488" s="889"/>
      <c r="C488" s="71" t="s">
        <v>625</v>
      </c>
      <c r="D488" s="71" t="s">
        <v>626</v>
      </c>
      <c r="E488" s="71" t="s">
        <v>415</v>
      </c>
      <c r="F488" s="71" t="s">
        <v>625</v>
      </c>
      <c r="G488" s="71" t="s">
        <v>626</v>
      </c>
      <c r="H488" s="71" t="s">
        <v>415</v>
      </c>
    </row>
    <row r="489" spans="2:8" ht="15.5">
      <c r="B489" s="299" t="s">
        <v>1581</v>
      </c>
      <c r="C489" s="134">
        <v>9661</v>
      </c>
      <c r="D489" s="134">
        <v>12097</v>
      </c>
      <c r="E489" s="134">
        <v>21758</v>
      </c>
      <c r="F489" s="134">
        <v>9641</v>
      </c>
      <c r="G489" s="134">
        <v>12436</v>
      </c>
      <c r="H489" s="134">
        <v>22077</v>
      </c>
    </row>
    <row r="490" spans="2:8" ht="15.5">
      <c r="B490" s="299" t="s">
        <v>1582</v>
      </c>
      <c r="C490" s="134">
        <v>10398</v>
      </c>
      <c r="D490" s="134">
        <v>12790</v>
      </c>
      <c r="E490" s="134">
        <v>23188</v>
      </c>
      <c r="F490" s="134">
        <v>10494</v>
      </c>
      <c r="G490" s="134">
        <v>12686</v>
      </c>
      <c r="H490" s="134">
        <v>23180</v>
      </c>
    </row>
    <row r="491" spans="2:8" ht="15.5">
      <c r="B491" s="299" t="s">
        <v>1583</v>
      </c>
      <c r="C491" s="134">
        <v>12232</v>
      </c>
      <c r="D491" s="134">
        <v>16569</v>
      </c>
      <c r="E491" s="134">
        <v>28801</v>
      </c>
      <c r="F491" s="134">
        <v>11214</v>
      </c>
      <c r="G491" s="134">
        <v>15293</v>
      </c>
      <c r="H491" s="134">
        <v>26507</v>
      </c>
    </row>
    <row r="492" spans="2:8" ht="15.5">
      <c r="B492" s="299" t="s">
        <v>1584</v>
      </c>
      <c r="C492" s="134">
        <v>11677</v>
      </c>
      <c r="D492" s="134">
        <v>15644</v>
      </c>
      <c r="E492" s="134">
        <v>27321</v>
      </c>
      <c r="F492" s="134">
        <v>10828</v>
      </c>
      <c r="G492" s="134">
        <v>14677</v>
      </c>
      <c r="H492" s="134">
        <v>25505</v>
      </c>
    </row>
    <row r="493" spans="2:8" ht="15.5">
      <c r="B493" s="299" t="s">
        <v>1585</v>
      </c>
      <c r="C493" s="134">
        <v>11290</v>
      </c>
      <c r="D493" s="134">
        <v>13916</v>
      </c>
      <c r="E493" s="134">
        <v>25206</v>
      </c>
      <c r="F493" s="134">
        <v>11738</v>
      </c>
      <c r="G493" s="134">
        <v>14633</v>
      </c>
      <c r="H493" s="134">
        <v>26371</v>
      </c>
    </row>
    <row r="494" spans="2:8" ht="15.5">
      <c r="B494" s="299" t="s">
        <v>1586</v>
      </c>
      <c r="C494" s="134">
        <v>12345</v>
      </c>
      <c r="D494" s="134">
        <v>14927</v>
      </c>
      <c r="E494" s="134">
        <v>27272</v>
      </c>
      <c r="F494" s="134">
        <v>11530</v>
      </c>
      <c r="G494" s="134">
        <v>13915</v>
      </c>
      <c r="H494" s="134">
        <v>25445</v>
      </c>
    </row>
    <row r="495" spans="2:8" ht="15.5">
      <c r="B495" s="299" t="s">
        <v>1587</v>
      </c>
      <c r="C495" s="134">
        <v>9383</v>
      </c>
      <c r="D495" s="134">
        <v>12605</v>
      </c>
      <c r="E495" s="134">
        <v>21988</v>
      </c>
      <c r="F495" s="134">
        <v>9147</v>
      </c>
      <c r="G495" s="134">
        <v>12489</v>
      </c>
      <c r="H495" s="134">
        <v>21636</v>
      </c>
    </row>
    <row r="496" spans="2:8" ht="15.5">
      <c r="B496" s="299" t="s">
        <v>1588</v>
      </c>
      <c r="C496" s="134">
        <v>10963</v>
      </c>
      <c r="D496" s="134">
        <v>13972</v>
      </c>
      <c r="E496" s="134">
        <v>24935</v>
      </c>
      <c r="F496" s="134">
        <v>11730</v>
      </c>
      <c r="G496" s="134">
        <v>14989</v>
      </c>
      <c r="H496" s="134">
        <v>26719</v>
      </c>
    </row>
    <row r="497" spans="2:8" ht="15.5">
      <c r="B497" s="266" t="s">
        <v>1589</v>
      </c>
      <c r="C497" s="34">
        <v>87949</v>
      </c>
      <c r="D497" s="34">
        <v>112520</v>
      </c>
      <c r="E497" s="34">
        <v>200469</v>
      </c>
      <c r="F497" s="34">
        <v>86322</v>
      </c>
      <c r="G497" s="34">
        <v>111118</v>
      </c>
      <c r="H497" s="34">
        <v>197440</v>
      </c>
    </row>
    <row r="498" spans="2:8" ht="15.5">
      <c r="B498" s="299" t="s">
        <v>1590</v>
      </c>
      <c r="C498" s="134">
        <v>11302</v>
      </c>
      <c r="D498" s="134">
        <v>14536</v>
      </c>
      <c r="E498" s="134">
        <v>25838</v>
      </c>
      <c r="F498" s="134">
        <v>11010</v>
      </c>
      <c r="G498" s="134">
        <v>14577</v>
      </c>
      <c r="H498" s="134">
        <v>25587</v>
      </c>
    </row>
    <row r="499" spans="2:8" ht="15.5">
      <c r="B499" s="299" t="s">
        <v>1591</v>
      </c>
      <c r="C499" s="134">
        <v>7627</v>
      </c>
      <c r="D499" s="134">
        <v>11495</v>
      </c>
      <c r="E499" s="134">
        <v>19122</v>
      </c>
      <c r="F499" s="134">
        <v>8121</v>
      </c>
      <c r="G499" s="134">
        <v>12667</v>
      </c>
      <c r="H499" s="134">
        <v>20788</v>
      </c>
    </row>
    <row r="500" spans="2:8" ht="15.5">
      <c r="B500" s="299" t="s">
        <v>1592</v>
      </c>
      <c r="C500" s="134">
        <v>8521</v>
      </c>
      <c r="D500" s="134">
        <v>11310</v>
      </c>
      <c r="E500" s="134">
        <v>19831</v>
      </c>
      <c r="F500" s="134">
        <v>8081</v>
      </c>
      <c r="G500" s="134">
        <v>10989</v>
      </c>
      <c r="H500" s="134">
        <v>19070</v>
      </c>
    </row>
    <row r="501" spans="2:8" ht="15.5">
      <c r="B501" s="299" t="s">
        <v>1593</v>
      </c>
      <c r="C501" s="134">
        <v>12588</v>
      </c>
      <c r="D501" s="134">
        <v>17027</v>
      </c>
      <c r="E501" s="134">
        <v>29615</v>
      </c>
      <c r="F501" s="134">
        <v>12490</v>
      </c>
      <c r="G501" s="134">
        <v>17405</v>
      </c>
      <c r="H501" s="134">
        <v>29895</v>
      </c>
    </row>
    <row r="502" spans="2:8" ht="15.5">
      <c r="B502" s="299" t="s">
        <v>1594</v>
      </c>
      <c r="C502" s="134">
        <v>12781</v>
      </c>
      <c r="D502" s="134">
        <v>12916</v>
      </c>
      <c r="E502" s="134">
        <v>25697</v>
      </c>
      <c r="F502" s="134">
        <v>12094</v>
      </c>
      <c r="G502" s="134">
        <v>12453</v>
      </c>
      <c r="H502" s="134">
        <v>24547</v>
      </c>
    </row>
    <row r="503" spans="2:8" ht="15.5">
      <c r="B503" s="299" t="s">
        <v>1595</v>
      </c>
      <c r="C503" s="134">
        <v>12062</v>
      </c>
      <c r="D503" s="134">
        <v>14539</v>
      </c>
      <c r="E503" s="134">
        <v>26601</v>
      </c>
      <c r="F503" s="134">
        <v>12338</v>
      </c>
      <c r="G503" s="134">
        <v>14825</v>
      </c>
      <c r="H503" s="134">
        <v>27163</v>
      </c>
    </row>
    <row r="504" spans="2:8" ht="15.5">
      <c r="B504" s="299" t="s">
        <v>1596</v>
      </c>
      <c r="C504" s="134">
        <v>9302</v>
      </c>
      <c r="D504" s="134">
        <v>11387</v>
      </c>
      <c r="E504" s="134">
        <v>20689</v>
      </c>
      <c r="F504" s="134">
        <v>9043</v>
      </c>
      <c r="G504" s="134">
        <v>11381</v>
      </c>
      <c r="H504" s="134">
        <v>20424</v>
      </c>
    </row>
    <row r="505" spans="2:8" ht="15.5">
      <c r="B505" s="266" t="s">
        <v>1597</v>
      </c>
      <c r="C505" s="34">
        <v>74183</v>
      </c>
      <c r="D505" s="34">
        <v>93210</v>
      </c>
      <c r="E505" s="34">
        <v>167393</v>
      </c>
      <c r="F505" s="34">
        <v>73177</v>
      </c>
      <c r="G505" s="34">
        <v>94297</v>
      </c>
      <c r="H505" s="34">
        <v>167474</v>
      </c>
    </row>
    <row r="506" spans="2:8" ht="15.5">
      <c r="B506" s="299" t="s">
        <v>1598</v>
      </c>
      <c r="C506" s="134">
        <v>10866</v>
      </c>
      <c r="D506" s="134">
        <v>13771</v>
      </c>
      <c r="E506" s="134">
        <v>24637</v>
      </c>
      <c r="F506" s="134">
        <v>10961</v>
      </c>
      <c r="G506" s="134">
        <v>14100</v>
      </c>
      <c r="H506" s="134">
        <v>25061</v>
      </c>
    </row>
    <row r="507" spans="2:8" ht="15.5">
      <c r="B507" s="299" t="s">
        <v>1599</v>
      </c>
      <c r="C507" s="134">
        <v>14645</v>
      </c>
      <c r="D507" s="134">
        <v>16636</v>
      </c>
      <c r="E507" s="134">
        <v>31281</v>
      </c>
      <c r="F507" s="134">
        <v>14890</v>
      </c>
      <c r="G507" s="134">
        <v>17566</v>
      </c>
      <c r="H507" s="134">
        <v>32456</v>
      </c>
    </row>
    <row r="508" spans="2:8" ht="15.5">
      <c r="B508" s="299" t="s">
        <v>1600</v>
      </c>
      <c r="C508" s="134">
        <v>11108</v>
      </c>
      <c r="D508" s="134">
        <v>13431</v>
      </c>
      <c r="E508" s="134">
        <v>24539</v>
      </c>
      <c r="F508" s="134">
        <v>10839</v>
      </c>
      <c r="G508" s="134">
        <v>13490</v>
      </c>
      <c r="H508" s="134">
        <v>24329</v>
      </c>
    </row>
    <row r="509" spans="2:8" ht="15.5">
      <c r="B509" s="299" t="s">
        <v>1601</v>
      </c>
      <c r="C509" s="134">
        <v>12578</v>
      </c>
      <c r="D509" s="134">
        <v>13354</v>
      </c>
      <c r="E509" s="134">
        <v>25932</v>
      </c>
      <c r="F509" s="134">
        <v>11985</v>
      </c>
      <c r="G509" s="134">
        <v>13117</v>
      </c>
      <c r="H509" s="134">
        <v>25102</v>
      </c>
    </row>
    <row r="510" spans="2:8" ht="15.5">
      <c r="B510" s="299" t="s">
        <v>1602</v>
      </c>
      <c r="C510" s="134">
        <v>8562</v>
      </c>
      <c r="D510" s="134">
        <v>10140</v>
      </c>
      <c r="E510" s="134">
        <v>18702</v>
      </c>
      <c r="F510" s="134">
        <v>8490</v>
      </c>
      <c r="G510" s="134">
        <v>10273</v>
      </c>
      <c r="H510" s="134">
        <v>18763</v>
      </c>
    </row>
    <row r="511" spans="2:8" ht="15.5">
      <c r="B511" s="299" t="s">
        <v>1603</v>
      </c>
      <c r="C511" s="134">
        <v>14422</v>
      </c>
      <c r="D511" s="134">
        <v>15887</v>
      </c>
      <c r="E511" s="134">
        <v>30305</v>
      </c>
      <c r="F511" s="134">
        <v>15336</v>
      </c>
      <c r="G511" s="134">
        <v>17275</v>
      </c>
      <c r="H511" s="134">
        <v>32611</v>
      </c>
    </row>
    <row r="512" spans="2:8" ht="15.5">
      <c r="B512" s="299" t="s">
        <v>1604</v>
      </c>
      <c r="C512" s="134">
        <v>11259</v>
      </c>
      <c r="D512" s="134">
        <v>15644</v>
      </c>
      <c r="E512" s="134">
        <v>26903</v>
      </c>
      <c r="F512" s="134">
        <v>11066</v>
      </c>
      <c r="G512" s="134">
        <v>15323</v>
      </c>
      <c r="H512" s="134">
        <v>26389</v>
      </c>
    </row>
    <row r="513" spans="2:8" ht="15.5">
      <c r="B513" s="266" t="s">
        <v>1605</v>
      </c>
      <c r="C513" s="34">
        <v>83440</v>
      </c>
      <c r="D513" s="34">
        <v>98863</v>
      </c>
      <c r="E513" s="34">
        <v>182299</v>
      </c>
      <c r="F513" s="34">
        <v>83567</v>
      </c>
      <c r="G513" s="34">
        <v>101144</v>
      </c>
      <c r="H513" s="34">
        <v>184711</v>
      </c>
    </row>
    <row r="514" spans="2:8" ht="15.5">
      <c r="B514" s="299" t="s">
        <v>1606</v>
      </c>
      <c r="C514" s="134">
        <v>10210</v>
      </c>
      <c r="D514" s="134">
        <v>12260</v>
      </c>
      <c r="E514" s="134">
        <v>22470</v>
      </c>
      <c r="F514" s="134">
        <v>11094</v>
      </c>
      <c r="G514" s="134">
        <v>13633</v>
      </c>
      <c r="H514" s="134">
        <v>24727</v>
      </c>
    </row>
    <row r="515" spans="2:8" ht="15.5">
      <c r="B515" s="299" t="s">
        <v>1607</v>
      </c>
      <c r="C515" s="134">
        <v>8680</v>
      </c>
      <c r="D515" s="134">
        <v>11394</v>
      </c>
      <c r="E515" s="134">
        <v>20074</v>
      </c>
      <c r="F515" s="134">
        <v>8933</v>
      </c>
      <c r="G515" s="134">
        <v>11839</v>
      </c>
      <c r="H515" s="134">
        <v>20772</v>
      </c>
    </row>
    <row r="516" spans="2:8" ht="15.5">
      <c r="B516" s="299" t="s">
        <v>1608</v>
      </c>
      <c r="C516" s="134">
        <v>11443</v>
      </c>
      <c r="D516" s="134">
        <v>16308</v>
      </c>
      <c r="E516" s="134">
        <v>27751</v>
      </c>
      <c r="F516" s="134">
        <v>11544</v>
      </c>
      <c r="G516" s="134">
        <v>16659</v>
      </c>
      <c r="H516" s="134">
        <v>28203</v>
      </c>
    </row>
    <row r="517" spans="2:8" ht="15.5">
      <c r="B517" s="299" t="s">
        <v>1609</v>
      </c>
      <c r="C517" s="134">
        <v>10490</v>
      </c>
      <c r="D517" s="134">
        <v>14540</v>
      </c>
      <c r="E517" s="134">
        <v>25030</v>
      </c>
      <c r="F517" s="134">
        <v>9742</v>
      </c>
      <c r="G517" s="134">
        <v>13890</v>
      </c>
      <c r="H517" s="134">
        <v>23632</v>
      </c>
    </row>
    <row r="518" spans="2:8" ht="15.5">
      <c r="B518" s="299" t="s">
        <v>1610</v>
      </c>
      <c r="C518" s="134">
        <v>8560</v>
      </c>
      <c r="D518" s="134">
        <v>13008</v>
      </c>
      <c r="E518" s="134">
        <v>21568</v>
      </c>
      <c r="F518" s="134">
        <v>8467</v>
      </c>
      <c r="G518" s="134">
        <v>13016</v>
      </c>
      <c r="H518" s="134">
        <v>21483</v>
      </c>
    </row>
    <row r="519" spans="2:8" ht="15.5">
      <c r="B519" s="266" t="s">
        <v>1611</v>
      </c>
      <c r="C519" s="34">
        <v>49383</v>
      </c>
      <c r="D519" s="34">
        <v>67510</v>
      </c>
      <c r="E519" s="34">
        <v>116893</v>
      </c>
      <c r="F519" s="34">
        <v>49780</v>
      </c>
      <c r="G519" s="34">
        <v>69037</v>
      </c>
      <c r="H519" s="34">
        <v>118817</v>
      </c>
    </row>
    <row r="520" spans="2:8" ht="15.5">
      <c r="B520" s="299" t="s">
        <v>1612</v>
      </c>
      <c r="C520" s="134">
        <v>12802</v>
      </c>
      <c r="D520" s="134">
        <v>15283</v>
      </c>
      <c r="E520" s="134">
        <v>28085</v>
      </c>
      <c r="F520" s="134">
        <v>12844</v>
      </c>
      <c r="G520" s="134">
        <v>15304</v>
      </c>
      <c r="H520" s="134">
        <v>28148</v>
      </c>
    </row>
    <row r="521" spans="2:8" ht="15.5">
      <c r="B521" s="299" t="s">
        <v>1613</v>
      </c>
      <c r="C521" s="134">
        <v>8898</v>
      </c>
      <c r="D521" s="134">
        <v>9291</v>
      </c>
      <c r="E521" s="134">
        <v>18189</v>
      </c>
      <c r="F521" s="134">
        <v>8131</v>
      </c>
      <c r="G521" s="134">
        <v>8680</v>
      </c>
      <c r="H521" s="134">
        <v>16811</v>
      </c>
    </row>
    <row r="522" spans="2:8" ht="15.5">
      <c r="B522" s="299" t="s">
        <v>1614</v>
      </c>
      <c r="C522" s="134">
        <v>8386</v>
      </c>
      <c r="D522" s="134">
        <v>8580</v>
      </c>
      <c r="E522" s="134">
        <v>16966</v>
      </c>
      <c r="F522" s="134">
        <v>8159</v>
      </c>
      <c r="G522" s="134">
        <v>8438</v>
      </c>
      <c r="H522" s="134">
        <v>16597</v>
      </c>
    </row>
    <row r="523" spans="2:8" ht="15.5">
      <c r="B523" s="266" t="s">
        <v>1615</v>
      </c>
      <c r="C523" s="34">
        <v>30086</v>
      </c>
      <c r="D523" s="34">
        <v>33154</v>
      </c>
      <c r="E523" s="34">
        <v>63240</v>
      </c>
      <c r="F523" s="34">
        <v>29134</v>
      </c>
      <c r="G523" s="34">
        <v>32422</v>
      </c>
      <c r="H523" s="34">
        <v>61556</v>
      </c>
    </row>
    <row r="524" spans="2:8" ht="15.5">
      <c r="B524" s="77" t="s">
        <v>1534</v>
      </c>
      <c r="C524" s="290">
        <v>325041</v>
      </c>
      <c r="D524" s="290">
        <v>405257</v>
      </c>
      <c r="E524" s="290">
        <v>730294</v>
      </c>
      <c r="F524" s="290">
        <v>321980</v>
      </c>
      <c r="G524" s="290">
        <v>408018</v>
      </c>
      <c r="H524" s="290">
        <v>729998</v>
      </c>
    </row>
    <row r="525" spans="2:8">
      <c r="B525" s="81" t="s">
        <v>265</v>
      </c>
    </row>
    <row r="526" spans="2:8">
      <c r="B526" s="1"/>
    </row>
    <row r="527" spans="2:8" ht="16" customHeight="1">
      <c r="B527" s="88" t="s">
        <v>1631</v>
      </c>
    </row>
    <row r="528" spans="2:8" ht="15.65" customHeight="1">
      <c r="B528" s="889" t="s">
        <v>1580</v>
      </c>
      <c r="C528" s="888" t="s">
        <v>687</v>
      </c>
      <c r="D528" s="888"/>
      <c r="E528" s="888"/>
      <c r="F528" s="888" t="s">
        <v>257</v>
      </c>
      <c r="G528" s="888"/>
      <c r="H528" s="888"/>
    </row>
    <row r="529" spans="2:10" ht="15.5">
      <c r="B529" s="889"/>
      <c r="C529" s="71" t="s">
        <v>625</v>
      </c>
      <c r="D529" s="71" t="s">
        <v>626</v>
      </c>
      <c r="E529" s="71" t="s">
        <v>415</v>
      </c>
      <c r="F529" s="71" t="s">
        <v>625</v>
      </c>
      <c r="G529" s="71" t="s">
        <v>626</v>
      </c>
      <c r="H529" s="71" t="s">
        <v>415</v>
      </c>
    </row>
    <row r="530" spans="2:10" ht="15.5">
      <c r="B530" s="299" t="s">
        <v>1581</v>
      </c>
      <c r="C530" s="35">
        <v>913</v>
      </c>
      <c r="D530" s="35">
        <v>531</v>
      </c>
      <c r="E530" s="35">
        <v>1444</v>
      </c>
      <c r="F530" s="752">
        <v>1270</v>
      </c>
      <c r="G530" s="752">
        <v>720</v>
      </c>
      <c r="H530" s="752">
        <v>1990</v>
      </c>
    </row>
    <row r="531" spans="2:10" ht="15.5">
      <c r="B531" s="299" t="s">
        <v>1582</v>
      </c>
      <c r="C531" s="35">
        <v>1108</v>
      </c>
      <c r="D531" s="35">
        <v>1199</v>
      </c>
      <c r="E531" s="35">
        <v>2307</v>
      </c>
      <c r="F531" s="752">
        <v>1412</v>
      </c>
      <c r="G531" s="752">
        <v>1353</v>
      </c>
      <c r="H531" s="752">
        <v>2765</v>
      </c>
    </row>
    <row r="532" spans="2:10" ht="15.5">
      <c r="B532" s="299" t="s">
        <v>1583</v>
      </c>
      <c r="C532" s="35">
        <v>942</v>
      </c>
      <c r="D532" s="35">
        <v>978</v>
      </c>
      <c r="E532" s="35">
        <v>1920</v>
      </c>
      <c r="F532" s="752">
        <v>1184</v>
      </c>
      <c r="G532" s="752">
        <v>1045</v>
      </c>
      <c r="H532" s="752">
        <v>2229</v>
      </c>
    </row>
    <row r="533" spans="2:10" ht="15.5">
      <c r="B533" s="299" t="s">
        <v>1584</v>
      </c>
      <c r="C533" s="35">
        <v>3945</v>
      </c>
      <c r="D533" s="35">
        <v>2162</v>
      </c>
      <c r="E533" s="35">
        <v>6107</v>
      </c>
      <c r="F533" s="752">
        <v>3644</v>
      </c>
      <c r="G533" s="752">
        <v>2466</v>
      </c>
      <c r="H533" s="752">
        <v>6110</v>
      </c>
    </row>
    <row r="534" spans="2:10" ht="15.5">
      <c r="B534" s="299" t="s">
        <v>1585</v>
      </c>
      <c r="C534" s="35">
        <v>1030</v>
      </c>
      <c r="D534" s="35">
        <v>777</v>
      </c>
      <c r="E534" s="35">
        <v>1807</v>
      </c>
      <c r="F534" s="752">
        <v>1596</v>
      </c>
      <c r="G534" s="752">
        <v>1123</v>
      </c>
      <c r="H534" s="752">
        <v>2719</v>
      </c>
    </row>
    <row r="535" spans="2:10" ht="15.5">
      <c r="B535" s="299" t="s">
        <v>1586</v>
      </c>
      <c r="C535" s="35">
        <v>3481</v>
      </c>
      <c r="D535" s="35">
        <v>1608</v>
      </c>
      <c r="E535" s="35">
        <v>5089</v>
      </c>
      <c r="F535" s="752">
        <v>4274</v>
      </c>
      <c r="G535" s="752">
        <v>2245</v>
      </c>
      <c r="H535" s="752">
        <v>6519</v>
      </c>
    </row>
    <row r="536" spans="2:10" ht="15.5">
      <c r="B536" s="299" t="s">
        <v>1587</v>
      </c>
      <c r="C536" s="35">
        <v>937</v>
      </c>
      <c r="D536" s="35">
        <v>545</v>
      </c>
      <c r="E536" s="35">
        <v>1482</v>
      </c>
      <c r="F536" s="752">
        <v>1263</v>
      </c>
      <c r="G536" s="752">
        <v>822</v>
      </c>
      <c r="H536" s="752">
        <v>2085</v>
      </c>
    </row>
    <row r="537" spans="2:10" ht="15.5">
      <c r="B537" s="299" t="s">
        <v>1588</v>
      </c>
      <c r="C537" s="35">
        <v>3793</v>
      </c>
      <c r="D537" s="35">
        <v>2272</v>
      </c>
      <c r="E537" s="35">
        <v>6065</v>
      </c>
      <c r="F537" s="752">
        <v>5244</v>
      </c>
      <c r="G537" s="752">
        <v>3417</v>
      </c>
      <c r="H537" s="752">
        <v>8661</v>
      </c>
    </row>
    <row r="538" spans="2:10" ht="15.5">
      <c r="B538" s="266" t="s">
        <v>1589</v>
      </c>
      <c r="C538" s="34">
        <v>16149</v>
      </c>
      <c r="D538" s="34">
        <v>10072</v>
      </c>
      <c r="E538" s="191">
        <v>26221</v>
      </c>
      <c r="F538" s="751">
        <v>19887</v>
      </c>
      <c r="G538" s="753">
        <v>13191</v>
      </c>
      <c r="H538" s="754">
        <v>33078</v>
      </c>
      <c r="J538" t="s">
        <v>704</v>
      </c>
    </row>
    <row r="539" spans="2:10" ht="15.5">
      <c r="B539" s="299" t="s">
        <v>1590</v>
      </c>
      <c r="C539" s="134">
        <v>1073</v>
      </c>
      <c r="D539" s="134">
        <v>1246</v>
      </c>
      <c r="E539" s="134">
        <v>2319</v>
      </c>
      <c r="F539" s="745">
        <v>1298</v>
      </c>
      <c r="G539" s="745">
        <v>1546</v>
      </c>
      <c r="H539" s="584">
        <v>2844</v>
      </c>
    </row>
    <row r="540" spans="2:10" ht="15.5">
      <c r="B540" s="299" t="s">
        <v>1591</v>
      </c>
      <c r="C540" s="134">
        <v>1249</v>
      </c>
      <c r="D540" s="134">
        <v>702</v>
      </c>
      <c r="E540" s="134">
        <v>1951</v>
      </c>
      <c r="F540" s="745">
        <v>1468</v>
      </c>
      <c r="G540" s="745">
        <v>936</v>
      </c>
      <c r="H540" s="584">
        <v>2404</v>
      </c>
    </row>
    <row r="541" spans="2:10" ht="15.5">
      <c r="B541" s="299" t="s">
        <v>1592</v>
      </c>
      <c r="C541" s="134">
        <v>1094</v>
      </c>
      <c r="D541" s="134">
        <v>902</v>
      </c>
      <c r="E541" s="134">
        <v>1996</v>
      </c>
      <c r="F541" s="745">
        <v>1424</v>
      </c>
      <c r="G541" s="745">
        <v>1428</v>
      </c>
      <c r="H541" s="584">
        <v>2852</v>
      </c>
    </row>
    <row r="542" spans="2:10" ht="15.5">
      <c r="B542" s="299" t="s">
        <v>1593</v>
      </c>
      <c r="C542" s="134">
        <v>901</v>
      </c>
      <c r="D542" s="134">
        <v>651</v>
      </c>
      <c r="E542" s="134">
        <v>1552</v>
      </c>
      <c r="F542" s="745">
        <v>1223</v>
      </c>
      <c r="G542" s="745">
        <v>962</v>
      </c>
      <c r="H542" s="584">
        <v>2185</v>
      </c>
    </row>
    <row r="543" spans="2:10" ht="15.5">
      <c r="B543" s="299" t="s">
        <v>1594</v>
      </c>
      <c r="C543" s="134">
        <v>1971</v>
      </c>
      <c r="D543" s="134">
        <v>1225</v>
      </c>
      <c r="E543" s="134">
        <v>3196</v>
      </c>
      <c r="F543" s="745">
        <v>2123</v>
      </c>
      <c r="G543" s="745">
        <v>1389</v>
      </c>
      <c r="H543" s="584">
        <v>3512</v>
      </c>
    </row>
    <row r="544" spans="2:10" ht="15.5">
      <c r="B544" s="299" t="s">
        <v>1595</v>
      </c>
      <c r="C544" s="134">
        <v>2052</v>
      </c>
      <c r="D544" s="134">
        <v>887</v>
      </c>
      <c r="E544" s="134">
        <v>2939</v>
      </c>
      <c r="F544" s="745">
        <v>2520</v>
      </c>
      <c r="G544" s="745">
        <v>1321</v>
      </c>
      <c r="H544" s="584">
        <v>3841</v>
      </c>
    </row>
    <row r="545" spans="2:8" ht="15.5">
      <c r="B545" s="299" t="s">
        <v>1596</v>
      </c>
      <c r="C545" s="134">
        <v>641</v>
      </c>
      <c r="D545" s="134">
        <v>529</v>
      </c>
      <c r="E545" s="134">
        <v>1170</v>
      </c>
      <c r="F545" s="745">
        <v>849</v>
      </c>
      <c r="G545" s="745">
        <v>627</v>
      </c>
      <c r="H545" s="584">
        <v>1476</v>
      </c>
    </row>
    <row r="546" spans="2:8" ht="15.5">
      <c r="B546" s="266" t="s">
        <v>1597</v>
      </c>
      <c r="C546" s="34">
        <v>8981</v>
      </c>
      <c r="D546" s="34">
        <v>6142</v>
      </c>
      <c r="E546" s="34">
        <v>15123</v>
      </c>
      <c r="F546" s="747">
        <v>10905</v>
      </c>
      <c r="G546" s="747">
        <v>8209</v>
      </c>
      <c r="H546" s="747">
        <v>19114</v>
      </c>
    </row>
    <row r="547" spans="2:8" ht="15.5">
      <c r="B547" s="299" t="s">
        <v>1598</v>
      </c>
      <c r="C547" s="134">
        <v>1357</v>
      </c>
      <c r="D547" s="134">
        <v>897</v>
      </c>
      <c r="E547" s="35">
        <v>2254</v>
      </c>
      <c r="F547" s="745">
        <v>1543</v>
      </c>
      <c r="G547" s="745">
        <v>1205</v>
      </c>
      <c r="H547" s="33">
        <v>2748</v>
      </c>
    </row>
    <row r="548" spans="2:8" ht="15.5">
      <c r="B548" s="299" t="s">
        <v>1599</v>
      </c>
      <c r="C548" s="134">
        <v>1367</v>
      </c>
      <c r="D548" s="134">
        <v>1425</v>
      </c>
      <c r="E548" s="35">
        <v>2792</v>
      </c>
      <c r="F548" s="745">
        <v>1886</v>
      </c>
      <c r="G548" s="745">
        <v>1966</v>
      </c>
      <c r="H548" s="33">
        <v>3852</v>
      </c>
    </row>
    <row r="549" spans="2:8" ht="15.5">
      <c r="B549" s="299" t="s">
        <v>1600</v>
      </c>
      <c r="C549" s="134">
        <v>945</v>
      </c>
      <c r="D549" s="134">
        <v>1293</v>
      </c>
      <c r="E549" s="35">
        <v>2238</v>
      </c>
      <c r="F549" s="745">
        <v>1276</v>
      </c>
      <c r="G549" s="745">
        <v>1508</v>
      </c>
      <c r="H549" s="33">
        <v>2784</v>
      </c>
    </row>
    <row r="550" spans="2:8" ht="15.5">
      <c r="B550" s="299" t="s">
        <v>1601</v>
      </c>
      <c r="C550" s="134">
        <v>940</v>
      </c>
      <c r="D550" s="134">
        <v>559</v>
      </c>
      <c r="E550" s="35">
        <v>1499</v>
      </c>
      <c r="F550" s="745">
        <v>992</v>
      </c>
      <c r="G550" s="745">
        <v>581</v>
      </c>
      <c r="H550" s="33">
        <v>1573</v>
      </c>
    </row>
    <row r="551" spans="2:8" ht="15.5">
      <c r="B551" s="299" t="s">
        <v>1602</v>
      </c>
      <c r="C551" s="134">
        <v>1232</v>
      </c>
      <c r="D551" s="134">
        <v>883</v>
      </c>
      <c r="E551" s="35">
        <v>2115</v>
      </c>
      <c r="F551" s="745">
        <v>1651</v>
      </c>
      <c r="G551" s="745">
        <v>1352</v>
      </c>
      <c r="H551" s="33">
        <v>3003</v>
      </c>
    </row>
    <row r="552" spans="2:8" ht="15.5">
      <c r="B552" s="299" t="s">
        <v>1603</v>
      </c>
      <c r="C552" s="134">
        <v>834</v>
      </c>
      <c r="D552" s="134">
        <v>856</v>
      </c>
      <c r="E552" s="35">
        <v>1690</v>
      </c>
      <c r="F552" s="745">
        <v>1045</v>
      </c>
      <c r="G552" s="745">
        <v>997</v>
      </c>
      <c r="H552" s="33">
        <v>2042</v>
      </c>
    </row>
    <row r="553" spans="2:8" ht="15.5">
      <c r="B553" s="299" t="s">
        <v>1604</v>
      </c>
      <c r="C553" s="134">
        <v>1249</v>
      </c>
      <c r="D553" s="134">
        <v>1203</v>
      </c>
      <c r="E553" s="35">
        <v>2452</v>
      </c>
      <c r="F553" s="745">
        <v>1776</v>
      </c>
      <c r="G553" s="745">
        <v>1550</v>
      </c>
      <c r="H553" s="33">
        <v>3326</v>
      </c>
    </row>
    <row r="554" spans="2:8" ht="15.5">
      <c r="B554" s="266" t="s">
        <v>1605</v>
      </c>
      <c r="C554" s="34">
        <v>7924</v>
      </c>
      <c r="D554" s="34">
        <v>7116</v>
      </c>
      <c r="E554" s="34">
        <v>15040</v>
      </c>
      <c r="F554" s="749">
        <v>10169</v>
      </c>
      <c r="G554" s="749">
        <v>9159</v>
      </c>
      <c r="H554" s="749">
        <v>19328</v>
      </c>
    </row>
    <row r="555" spans="2:8" ht="15.5">
      <c r="B555" s="299" t="s">
        <v>1606</v>
      </c>
      <c r="C555" s="35">
        <v>1593</v>
      </c>
      <c r="D555" s="35">
        <v>835</v>
      </c>
      <c r="E555" s="35">
        <v>2428</v>
      </c>
      <c r="F555" s="525">
        <v>1757</v>
      </c>
      <c r="G555" s="525">
        <v>1018</v>
      </c>
      <c r="H555" s="525">
        <v>2775</v>
      </c>
    </row>
    <row r="556" spans="2:8" ht="15.5">
      <c r="B556" s="299" t="s">
        <v>1607</v>
      </c>
      <c r="C556" s="35">
        <v>733</v>
      </c>
      <c r="D556" s="35">
        <v>666</v>
      </c>
      <c r="E556" s="35">
        <v>1399</v>
      </c>
      <c r="F556" s="525">
        <v>1194</v>
      </c>
      <c r="G556" s="525">
        <v>1193</v>
      </c>
      <c r="H556" s="525">
        <v>2387</v>
      </c>
    </row>
    <row r="557" spans="2:8" ht="15.5">
      <c r="B557" s="299" t="s">
        <v>1608</v>
      </c>
      <c r="C557" s="35">
        <v>1669</v>
      </c>
      <c r="D557" s="35">
        <v>1113</v>
      </c>
      <c r="E557" s="35">
        <v>2782</v>
      </c>
      <c r="F557" s="525">
        <v>2104</v>
      </c>
      <c r="G557" s="525">
        <v>1290</v>
      </c>
      <c r="H557" s="525">
        <v>3394</v>
      </c>
    </row>
    <row r="558" spans="2:8" ht="15.5">
      <c r="B558" s="299" t="s">
        <v>1609</v>
      </c>
      <c r="C558" s="35">
        <v>3204</v>
      </c>
      <c r="D558" s="35">
        <v>2270</v>
      </c>
      <c r="E558" s="35">
        <v>5474</v>
      </c>
      <c r="F558" s="525">
        <v>3010</v>
      </c>
      <c r="G558" s="525">
        <v>2812</v>
      </c>
      <c r="H558" s="525">
        <v>5822</v>
      </c>
    </row>
    <row r="559" spans="2:8" ht="15.5">
      <c r="B559" s="299" t="s">
        <v>1610</v>
      </c>
      <c r="C559" s="35">
        <v>1764</v>
      </c>
      <c r="D559" s="35">
        <v>1363</v>
      </c>
      <c r="E559" s="35">
        <v>3127</v>
      </c>
      <c r="F559" s="525">
        <v>2240</v>
      </c>
      <c r="G559" s="525">
        <v>1848</v>
      </c>
      <c r="H559" s="525">
        <v>4088</v>
      </c>
    </row>
    <row r="560" spans="2:8" ht="15.5">
      <c r="B560" s="266" t="s">
        <v>1611</v>
      </c>
      <c r="C560" s="34">
        <v>8963</v>
      </c>
      <c r="D560" s="34">
        <v>6247</v>
      </c>
      <c r="E560" s="34">
        <v>15210</v>
      </c>
      <c r="F560" s="749">
        <v>10305</v>
      </c>
      <c r="G560" s="749">
        <v>8161</v>
      </c>
      <c r="H560" s="749">
        <v>18466</v>
      </c>
    </row>
    <row r="561" spans="2:8" ht="15.5">
      <c r="B561" s="299" t="s">
        <v>1612</v>
      </c>
      <c r="C561" s="35">
        <v>1246</v>
      </c>
      <c r="D561" s="35">
        <v>1285</v>
      </c>
      <c r="E561" s="35">
        <v>2531</v>
      </c>
      <c r="F561" s="525">
        <v>2090</v>
      </c>
      <c r="G561" s="525">
        <v>1899</v>
      </c>
      <c r="H561" s="525">
        <v>3989</v>
      </c>
    </row>
    <row r="562" spans="2:8" ht="15.5">
      <c r="B562" s="299" t="s">
        <v>1613</v>
      </c>
      <c r="C562" s="35">
        <v>3762</v>
      </c>
      <c r="D562" s="35">
        <v>2313</v>
      </c>
      <c r="E562" s="35">
        <v>6075</v>
      </c>
      <c r="F562" s="525">
        <v>3321</v>
      </c>
      <c r="G562" s="525">
        <v>2227</v>
      </c>
      <c r="H562" s="525">
        <v>5548</v>
      </c>
    </row>
    <row r="563" spans="2:8" ht="15.5">
      <c r="B563" s="299" t="s">
        <v>1614</v>
      </c>
      <c r="C563" s="35">
        <v>1599</v>
      </c>
      <c r="D563" s="35">
        <v>1660</v>
      </c>
      <c r="E563" s="35">
        <v>3259</v>
      </c>
      <c r="F563" s="525">
        <v>1934</v>
      </c>
      <c r="G563" s="525">
        <v>2098</v>
      </c>
      <c r="H563" s="525">
        <v>4032</v>
      </c>
    </row>
    <row r="564" spans="2:8" ht="15.5">
      <c r="B564" s="266" t="s">
        <v>1615</v>
      </c>
      <c r="C564" s="34">
        <v>6607</v>
      </c>
      <c r="D564" s="34">
        <v>5258</v>
      </c>
      <c r="E564" s="34">
        <v>11865</v>
      </c>
      <c r="F564" s="749">
        <v>7345</v>
      </c>
      <c r="G564" s="749">
        <v>6224</v>
      </c>
      <c r="H564" s="749">
        <v>13569</v>
      </c>
    </row>
    <row r="565" spans="2:8" ht="15.5">
      <c r="B565" s="77" t="s">
        <v>1534</v>
      </c>
      <c r="C565" s="290">
        <v>48624</v>
      </c>
      <c r="D565" s="290">
        <v>34835</v>
      </c>
      <c r="E565" s="290">
        <v>83459</v>
      </c>
      <c r="F565" s="750">
        <v>58611</v>
      </c>
      <c r="G565" s="750">
        <v>44944</v>
      </c>
      <c r="H565" s="750">
        <v>103555</v>
      </c>
    </row>
    <row r="566" spans="2:8">
      <c r="B566" s="81" t="s">
        <v>265</v>
      </c>
    </row>
    <row r="567" spans="2:8">
      <c r="B567" s="1"/>
    </row>
    <row r="568" spans="2:8" ht="16" customHeight="1">
      <c r="B568" s="88" t="s">
        <v>1632</v>
      </c>
    </row>
    <row r="569" spans="2:8" ht="15.65" customHeight="1">
      <c r="B569" s="890" t="s">
        <v>1621</v>
      </c>
      <c r="C569" s="891" t="s">
        <v>687</v>
      </c>
      <c r="D569" s="892"/>
      <c r="E569" s="893"/>
      <c r="F569" s="891" t="s">
        <v>688</v>
      </c>
      <c r="G569" s="892"/>
      <c r="H569" s="893"/>
    </row>
    <row r="570" spans="2:8" ht="15.5">
      <c r="B570" s="890"/>
      <c r="C570" s="401" t="s">
        <v>625</v>
      </c>
      <c r="D570" s="402" t="s">
        <v>626</v>
      </c>
      <c r="E570" s="401" t="s">
        <v>415</v>
      </c>
      <c r="F570" s="401" t="s">
        <v>625</v>
      </c>
      <c r="G570" s="402" t="s">
        <v>626</v>
      </c>
      <c r="H570" s="401" t="s">
        <v>415</v>
      </c>
    </row>
    <row r="571" spans="2:8" ht="15.5">
      <c r="B571" s="403" t="s">
        <v>1581</v>
      </c>
      <c r="C571" s="404">
        <v>245</v>
      </c>
      <c r="D571" s="405">
        <v>336</v>
      </c>
      <c r="E571" s="404">
        <f>D571+C571</f>
        <v>581</v>
      </c>
      <c r="F571" s="745">
        <v>164</v>
      </c>
      <c r="G571" s="745">
        <v>241</v>
      </c>
      <c r="H571" s="745">
        <v>405</v>
      </c>
    </row>
    <row r="572" spans="2:8" ht="15.5">
      <c r="B572" s="403" t="s">
        <v>1582</v>
      </c>
      <c r="C572" s="404">
        <v>6241</v>
      </c>
      <c r="D572" s="405">
        <v>4160</v>
      </c>
      <c r="E572" s="404">
        <f t="shared" ref="E572:E578" si="0">D572+C572</f>
        <v>10401</v>
      </c>
      <c r="F572" s="585">
        <v>6645</v>
      </c>
      <c r="G572" s="585">
        <v>4864</v>
      </c>
      <c r="H572" s="585">
        <v>11509</v>
      </c>
    </row>
    <row r="573" spans="2:8" ht="15.5">
      <c r="B573" s="403" t="s">
        <v>1583</v>
      </c>
      <c r="C573" s="404">
        <v>0</v>
      </c>
      <c r="D573" s="405">
        <v>0</v>
      </c>
      <c r="E573" s="404">
        <f t="shared" si="0"/>
        <v>0</v>
      </c>
      <c r="F573" s="745" t="s">
        <v>1672</v>
      </c>
      <c r="G573" s="745" t="s">
        <v>1672</v>
      </c>
      <c r="H573" s="745"/>
    </row>
    <row r="574" spans="2:8" ht="15.5">
      <c r="B574" s="403" t="s">
        <v>1584</v>
      </c>
      <c r="C574" s="404">
        <v>699</v>
      </c>
      <c r="D574" s="405">
        <v>700</v>
      </c>
      <c r="E574" s="404">
        <f t="shared" si="0"/>
        <v>1399</v>
      </c>
      <c r="F574" s="585">
        <v>1615</v>
      </c>
      <c r="G574" s="585">
        <v>1676</v>
      </c>
      <c r="H574" s="585">
        <v>3291</v>
      </c>
    </row>
    <row r="575" spans="2:8" ht="15.5">
      <c r="B575" s="403" t="s">
        <v>1585</v>
      </c>
      <c r="C575" s="404">
        <v>288</v>
      </c>
      <c r="D575" s="405">
        <v>144</v>
      </c>
      <c r="E575" s="404">
        <f t="shared" si="0"/>
        <v>432</v>
      </c>
      <c r="F575" s="745">
        <v>371</v>
      </c>
      <c r="G575" s="745">
        <v>255</v>
      </c>
      <c r="H575" s="745">
        <v>626</v>
      </c>
    </row>
    <row r="576" spans="2:8" ht="15.5">
      <c r="B576" s="403" t="s">
        <v>1586</v>
      </c>
      <c r="C576" s="404">
        <v>832</v>
      </c>
      <c r="D576" s="405">
        <v>965</v>
      </c>
      <c r="E576" s="404">
        <f t="shared" si="0"/>
        <v>1797</v>
      </c>
      <c r="F576" s="745">
        <v>965</v>
      </c>
      <c r="G576" s="745">
        <v>877</v>
      </c>
      <c r="H576" s="585">
        <v>1842</v>
      </c>
    </row>
    <row r="577" spans="2:8" ht="15.5">
      <c r="B577" s="403" t="s">
        <v>1587</v>
      </c>
      <c r="C577" s="404">
        <v>0</v>
      </c>
      <c r="D577" s="405">
        <v>0</v>
      </c>
      <c r="E577" s="404">
        <f t="shared" si="0"/>
        <v>0</v>
      </c>
      <c r="F577" s="745" t="s">
        <v>1672</v>
      </c>
      <c r="G577" s="745" t="s">
        <v>1672</v>
      </c>
      <c r="H577" s="745"/>
    </row>
    <row r="578" spans="2:8" ht="15.5">
      <c r="B578" s="403" t="s">
        <v>1588</v>
      </c>
      <c r="C578" s="404">
        <v>353</v>
      </c>
      <c r="D578" s="405">
        <v>398</v>
      </c>
      <c r="E578" s="404">
        <f t="shared" si="0"/>
        <v>751</v>
      </c>
      <c r="F578" s="32">
        <v>517</v>
      </c>
      <c r="G578" s="32">
        <v>613</v>
      </c>
      <c r="H578" s="32"/>
    </row>
    <row r="579" spans="2:8" ht="15.5">
      <c r="B579" s="406" t="s">
        <v>1589</v>
      </c>
      <c r="C579" s="407">
        <v>8658</v>
      </c>
      <c r="D579" s="408">
        <v>6703</v>
      </c>
      <c r="E579" s="407">
        <v>15361</v>
      </c>
      <c r="F579" s="749">
        <v>10277</v>
      </c>
      <c r="G579" s="749">
        <v>8526</v>
      </c>
      <c r="H579" s="749">
        <v>18803</v>
      </c>
    </row>
    <row r="580" spans="2:8" ht="15.5">
      <c r="B580" s="403" t="s">
        <v>1590</v>
      </c>
      <c r="C580" s="404">
        <v>805</v>
      </c>
      <c r="D580" s="405">
        <v>512</v>
      </c>
      <c r="E580" s="404">
        <f t="shared" ref="E580:E586" si="1">D580+C580</f>
        <v>1317</v>
      </c>
      <c r="F580" s="32">
        <v>873</v>
      </c>
      <c r="G580" s="32">
        <v>710</v>
      </c>
      <c r="H580" s="32">
        <v>710</v>
      </c>
    </row>
    <row r="581" spans="2:8" ht="15.5">
      <c r="B581" s="403" t="s">
        <v>1591</v>
      </c>
      <c r="C581" s="404">
        <v>0</v>
      </c>
      <c r="D581" s="405">
        <v>0</v>
      </c>
      <c r="E581" s="404">
        <f t="shared" si="1"/>
        <v>0</v>
      </c>
      <c r="F581" s="745" t="s">
        <v>1672</v>
      </c>
      <c r="G581" s="745" t="s">
        <v>1672</v>
      </c>
      <c r="H581" s="745"/>
    </row>
    <row r="582" spans="2:8" ht="15.5">
      <c r="B582" s="403" t="s">
        <v>1592</v>
      </c>
      <c r="C582" s="404">
        <v>0</v>
      </c>
      <c r="D582" s="405">
        <v>0</v>
      </c>
      <c r="E582" s="404">
        <f t="shared" si="1"/>
        <v>0</v>
      </c>
      <c r="F582" s="745" t="s">
        <v>1672</v>
      </c>
      <c r="G582" s="745" t="s">
        <v>1672</v>
      </c>
      <c r="H582" s="745"/>
    </row>
    <row r="583" spans="2:8" ht="15.5">
      <c r="B583" s="403" t="s">
        <v>1593</v>
      </c>
      <c r="C583" s="404">
        <v>2063</v>
      </c>
      <c r="D583" s="405">
        <v>1714</v>
      </c>
      <c r="E583" s="404">
        <f t="shared" si="1"/>
        <v>3777</v>
      </c>
      <c r="F583" s="585">
        <v>3787</v>
      </c>
      <c r="G583" s="585">
        <v>3324</v>
      </c>
      <c r="H583" s="585">
        <v>7111</v>
      </c>
    </row>
    <row r="584" spans="2:8" ht="15.5">
      <c r="B584" s="403" t="s">
        <v>1594</v>
      </c>
      <c r="C584" s="404">
        <v>195</v>
      </c>
      <c r="D584" s="405">
        <v>212</v>
      </c>
      <c r="E584" s="404">
        <f t="shared" si="1"/>
        <v>407</v>
      </c>
      <c r="F584" s="585">
        <v>1049</v>
      </c>
      <c r="G584" s="585">
        <v>1198</v>
      </c>
      <c r="H584" s="585">
        <v>2247</v>
      </c>
    </row>
    <row r="585" spans="2:8" ht="15.5">
      <c r="B585" s="403" t="s">
        <v>1595</v>
      </c>
      <c r="C585" s="404">
        <v>223</v>
      </c>
      <c r="D585" s="405">
        <v>159</v>
      </c>
      <c r="E585" s="404">
        <f t="shared" si="1"/>
        <v>382</v>
      </c>
      <c r="F585" s="745">
        <v>118</v>
      </c>
      <c r="G585" s="745">
        <v>88</v>
      </c>
      <c r="H585" s="745">
        <v>206</v>
      </c>
    </row>
    <row r="586" spans="2:8" ht="15.5">
      <c r="B586" s="403" t="s">
        <v>1596</v>
      </c>
      <c r="C586" s="404">
        <v>0</v>
      </c>
      <c r="D586" s="405">
        <v>0</v>
      </c>
      <c r="E586" s="404">
        <f t="shared" si="1"/>
        <v>0</v>
      </c>
      <c r="F586" s="745" t="s">
        <v>1672</v>
      </c>
      <c r="G586" s="745" t="s">
        <v>1672</v>
      </c>
      <c r="H586" s="745"/>
    </row>
    <row r="587" spans="2:8" ht="15.5">
      <c r="B587" s="406" t="s">
        <v>1597</v>
      </c>
      <c r="C587" s="407">
        <v>3286</v>
      </c>
      <c r="D587" s="408">
        <v>2597</v>
      </c>
      <c r="E587" s="407">
        <v>5883</v>
      </c>
      <c r="F587" s="749">
        <v>5827</v>
      </c>
      <c r="G587" s="749">
        <v>5320</v>
      </c>
      <c r="H587" s="749">
        <v>11147</v>
      </c>
    </row>
    <row r="588" spans="2:8" ht="15.5">
      <c r="B588" s="403" t="s">
        <v>1598</v>
      </c>
      <c r="C588" s="404">
        <v>211</v>
      </c>
      <c r="D588" s="405">
        <v>95</v>
      </c>
      <c r="E588" s="404">
        <f t="shared" ref="E588:E594" si="2">D588+C588</f>
        <v>306</v>
      </c>
      <c r="F588" s="585">
        <v>1063</v>
      </c>
      <c r="G588" s="745">
        <v>227</v>
      </c>
      <c r="H588" s="585">
        <v>1290</v>
      </c>
    </row>
    <row r="589" spans="2:8" ht="15.5">
      <c r="B589" s="403" t="s">
        <v>1599</v>
      </c>
      <c r="C589" s="404">
        <v>392</v>
      </c>
      <c r="D589" s="405">
        <v>322</v>
      </c>
      <c r="E589" s="404">
        <f t="shared" si="2"/>
        <v>714</v>
      </c>
      <c r="F589" s="745">
        <v>600</v>
      </c>
      <c r="G589" s="745">
        <v>458</v>
      </c>
      <c r="H589" s="745"/>
    </row>
    <row r="590" spans="2:8" ht="15.5">
      <c r="B590" s="403" t="s">
        <v>1600</v>
      </c>
      <c r="C590" s="404">
        <v>2380</v>
      </c>
      <c r="D590" s="405">
        <v>1759</v>
      </c>
      <c r="E590" s="404">
        <f t="shared" si="2"/>
        <v>4139</v>
      </c>
      <c r="F590" s="585">
        <v>2037</v>
      </c>
      <c r="G590" s="585">
        <v>1589</v>
      </c>
      <c r="H590" s="585">
        <v>3626</v>
      </c>
    </row>
    <row r="591" spans="2:8" ht="15.5">
      <c r="B591" s="403" t="s">
        <v>1601</v>
      </c>
      <c r="C591" s="404">
        <v>0</v>
      </c>
      <c r="D591" s="405">
        <v>0</v>
      </c>
      <c r="E591" s="404">
        <f t="shared" si="2"/>
        <v>0</v>
      </c>
      <c r="F591" s="745">
        <v>9</v>
      </c>
      <c r="G591" s="745">
        <v>7</v>
      </c>
      <c r="H591" s="745"/>
    </row>
    <row r="592" spans="2:8" ht="15.5">
      <c r="B592" s="403" t="s">
        <v>1602</v>
      </c>
      <c r="C592" s="404">
        <v>922</v>
      </c>
      <c r="D592" s="405">
        <v>348</v>
      </c>
      <c r="E592" s="404">
        <f t="shared" si="2"/>
        <v>1270</v>
      </c>
      <c r="F592" s="745">
        <v>824</v>
      </c>
      <c r="G592" s="745">
        <v>430</v>
      </c>
      <c r="H592" s="585">
        <v>1254</v>
      </c>
    </row>
    <row r="593" spans="2:8" ht="15.5">
      <c r="B593" s="403" t="s">
        <v>1603</v>
      </c>
      <c r="C593" s="404">
        <v>3828</v>
      </c>
      <c r="D593" s="405">
        <v>2674</v>
      </c>
      <c r="E593" s="404">
        <f t="shared" si="2"/>
        <v>6502</v>
      </c>
      <c r="F593" s="585">
        <v>2819</v>
      </c>
      <c r="G593" s="585">
        <v>1770</v>
      </c>
      <c r="H593" s="585">
        <v>4589</v>
      </c>
    </row>
    <row r="594" spans="2:8" ht="15.5">
      <c r="B594" s="403" t="s">
        <v>1604</v>
      </c>
      <c r="C594" s="404">
        <v>1606</v>
      </c>
      <c r="D594" s="405">
        <v>922</v>
      </c>
      <c r="E594" s="404">
        <f t="shared" si="2"/>
        <v>2528</v>
      </c>
      <c r="F594" s="585">
        <v>1658</v>
      </c>
      <c r="G594" s="585">
        <v>1014</v>
      </c>
      <c r="H594" s="585">
        <v>2672</v>
      </c>
    </row>
    <row r="595" spans="2:8" ht="15.5">
      <c r="B595" s="406" t="s">
        <v>1605</v>
      </c>
      <c r="C595" s="407">
        <v>9339</v>
      </c>
      <c r="D595" s="408">
        <v>6120</v>
      </c>
      <c r="E595" s="407">
        <v>15459</v>
      </c>
      <c r="F595" s="749">
        <v>9010</v>
      </c>
      <c r="G595" s="749">
        <v>5495</v>
      </c>
      <c r="H595" s="749">
        <v>14505</v>
      </c>
    </row>
    <row r="596" spans="2:8" ht="15.5">
      <c r="B596" s="403" t="s">
        <v>1606</v>
      </c>
      <c r="C596" s="404">
        <v>55</v>
      </c>
      <c r="D596" s="405">
        <v>102</v>
      </c>
      <c r="E596" s="404">
        <f t="shared" ref="E596:E600" si="3">D596+C596</f>
        <v>157</v>
      </c>
      <c r="F596" s="745">
        <v>83</v>
      </c>
      <c r="G596" s="745">
        <v>132</v>
      </c>
      <c r="H596" s="745">
        <v>215</v>
      </c>
    </row>
    <row r="597" spans="2:8" ht="15.5">
      <c r="B597" s="403" t="s">
        <v>1607</v>
      </c>
      <c r="C597" s="404">
        <v>82</v>
      </c>
      <c r="D597" s="405">
        <v>237</v>
      </c>
      <c r="E597" s="404">
        <f t="shared" si="3"/>
        <v>319</v>
      </c>
      <c r="F597" s="745">
        <v>84</v>
      </c>
      <c r="G597" s="745">
        <v>236</v>
      </c>
      <c r="H597" s="745">
        <v>320</v>
      </c>
    </row>
    <row r="598" spans="2:8" ht="15.5">
      <c r="B598" s="403" t="s">
        <v>1608</v>
      </c>
      <c r="C598" s="404">
        <v>3711</v>
      </c>
      <c r="D598" s="405">
        <v>3194</v>
      </c>
      <c r="E598" s="404">
        <f t="shared" si="3"/>
        <v>6905</v>
      </c>
      <c r="F598" s="585">
        <v>5655</v>
      </c>
      <c r="G598" s="585">
        <v>5113</v>
      </c>
      <c r="H598" s="585">
        <v>10768</v>
      </c>
    </row>
    <row r="599" spans="2:8" ht="15.5">
      <c r="B599" s="403" t="s">
        <v>1609</v>
      </c>
      <c r="C599" s="404">
        <v>5702</v>
      </c>
      <c r="D599" s="405">
        <v>4192</v>
      </c>
      <c r="E599" s="404">
        <f t="shared" si="3"/>
        <v>9894</v>
      </c>
      <c r="F599" s="585">
        <v>6754</v>
      </c>
      <c r="G599" s="585">
        <v>4855</v>
      </c>
      <c r="H599" s="585">
        <v>11609</v>
      </c>
    </row>
    <row r="600" spans="2:8" ht="15.5">
      <c r="B600" s="403" t="s">
        <v>1610</v>
      </c>
      <c r="C600" s="404">
        <v>557</v>
      </c>
      <c r="D600" s="405">
        <v>169</v>
      </c>
      <c r="E600" s="404">
        <f t="shared" si="3"/>
        <v>726</v>
      </c>
      <c r="F600" s="745">
        <v>589</v>
      </c>
      <c r="G600" s="745">
        <v>189</v>
      </c>
      <c r="H600" s="745">
        <v>778</v>
      </c>
    </row>
    <row r="601" spans="2:8" ht="15.5">
      <c r="B601" s="406" t="s">
        <v>1622</v>
      </c>
      <c r="C601" s="407">
        <v>10107</v>
      </c>
      <c r="D601" s="408">
        <v>7894</v>
      </c>
      <c r="E601" s="407">
        <v>18001</v>
      </c>
      <c r="F601" s="746">
        <v>13165</v>
      </c>
      <c r="G601" s="746">
        <v>10525</v>
      </c>
      <c r="H601" s="746">
        <v>23690</v>
      </c>
    </row>
    <row r="602" spans="2:8" ht="15.5">
      <c r="B602" s="403" t="s">
        <v>1612</v>
      </c>
      <c r="C602" s="404">
        <v>11328</v>
      </c>
      <c r="D602" s="405">
        <v>10985</v>
      </c>
      <c r="E602" s="404">
        <f t="shared" ref="E602:E604" si="4">D602+C602</f>
        <v>22313</v>
      </c>
      <c r="F602" s="585">
        <v>14040</v>
      </c>
      <c r="G602" s="585">
        <v>11520</v>
      </c>
      <c r="H602" s="585">
        <v>25560</v>
      </c>
    </row>
    <row r="603" spans="2:8" ht="15.5">
      <c r="B603" s="403" t="s">
        <v>1613</v>
      </c>
      <c r="C603" s="404">
        <v>6759</v>
      </c>
      <c r="D603" s="405">
        <v>5751</v>
      </c>
      <c r="E603" s="404">
        <f t="shared" si="4"/>
        <v>12510</v>
      </c>
      <c r="F603" s="585">
        <v>9880</v>
      </c>
      <c r="G603" s="585">
        <v>9055</v>
      </c>
      <c r="H603" s="585">
        <v>18935</v>
      </c>
    </row>
    <row r="604" spans="2:8" ht="15.5">
      <c r="B604" s="403" t="s">
        <v>1614</v>
      </c>
      <c r="C604" s="404">
        <v>4294</v>
      </c>
      <c r="D604" s="405">
        <v>2042</v>
      </c>
      <c r="E604" s="404">
        <f t="shared" si="4"/>
        <v>6336</v>
      </c>
      <c r="F604" s="585">
        <v>4657</v>
      </c>
      <c r="G604" s="585">
        <v>2419</v>
      </c>
      <c r="H604" s="585">
        <v>7076</v>
      </c>
    </row>
    <row r="605" spans="2:8" ht="15.5">
      <c r="B605" s="406" t="s">
        <v>1615</v>
      </c>
      <c r="C605" s="407">
        <v>22381</v>
      </c>
      <c r="D605" s="408">
        <v>18778</v>
      </c>
      <c r="E605" s="407">
        <v>41159</v>
      </c>
      <c r="F605" s="749">
        <v>28577</v>
      </c>
      <c r="G605" s="749">
        <v>22994</v>
      </c>
      <c r="H605" s="749">
        <v>51571</v>
      </c>
    </row>
    <row r="606" spans="2:8" ht="15.5">
      <c r="B606" s="409" t="s">
        <v>415</v>
      </c>
      <c r="C606" s="410">
        <v>53771</v>
      </c>
      <c r="D606" s="411">
        <v>42092</v>
      </c>
      <c r="E606" s="410">
        <v>95863</v>
      </c>
      <c r="F606" s="750">
        <v>66856</v>
      </c>
      <c r="G606" s="750">
        <v>52860</v>
      </c>
      <c r="H606" s="750">
        <v>119716</v>
      </c>
    </row>
    <row r="607" spans="2:8">
      <c r="B607" s="1" t="s">
        <v>1633</v>
      </c>
    </row>
    <row r="608" spans="2:8">
      <c r="B608" s="1"/>
    </row>
    <row r="609" spans="2:8" ht="17.149999999999999" customHeight="1">
      <c r="B609" s="88" t="s">
        <v>1634</v>
      </c>
    </row>
    <row r="610" spans="2:8" ht="15.65" customHeight="1">
      <c r="B610" s="889" t="s">
        <v>1580</v>
      </c>
      <c r="C610" s="888" t="s">
        <v>687</v>
      </c>
      <c r="D610" s="888"/>
      <c r="E610" s="888"/>
      <c r="F610" s="888" t="s">
        <v>257</v>
      </c>
      <c r="G610" s="888"/>
      <c r="H610" s="888"/>
    </row>
    <row r="611" spans="2:8" ht="15.5">
      <c r="B611" s="889"/>
      <c r="C611" s="71" t="s">
        <v>625</v>
      </c>
      <c r="D611" s="71" t="s">
        <v>626</v>
      </c>
      <c r="E611" s="71" t="s">
        <v>415</v>
      </c>
      <c r="F611" s="442" t="s">
        <v>782</v>
      </c>
      <c r="G611" s="443" t="s">
        <v>783</v>
      </c>
      <c r="H611" s="443" t="s">
        <v>315</v>
      </c>
    </row>
    <row r="612" spans="2:8" ht="15.5">
      <c r="B612" s="299" t="s">
        <v>1581</v>
      </c>
      <c r="C612" s="35">
        <v>1469</v>
      </c>
      <c r="D612" s="35">
        <v>2602</v>
      </c>
      <c r="E612" s="35">
        <v>4071</v>
      </c>
      <c r="F612" s="585">
        <v>1992</v>
      </c>
      <c r="G612" s="585">
        <v>2708</v>
      </c>
      <c r="H612" s="585">
        <v>4700</v>
      </c>
    </row>
    <row r="613" spans="2:8" ht="15.5">
      <c r="B613" s="299" t="s">
        <v>1582</v>
      </c>
      <c r="C613" s="32">
        <v>628</v>
      </c>
      <c r="D613" s="35">
        <v>1907</v>
      </c>
      <c r="E613" s="35">
        <v>2535</v>
      </c>
      <c r="F613" s="745">
        <v>707</v>
      </c>
      <c r="G613" s="585">
        <v>2298</v>
      </c>
      <c r="H613" s="585">
        <v>3005</v>
      </c>
    </row>
    <row r="614" spans="2:8" ht="15.5">
      <c r="B614" s="299" t="s">
        <v>1583</v>
      </c>
      <c r="C614" s="35">
        <v>1268</v>
      </c>
      <c r="D614" s="35">
        <v>2378</v>
      </c>
      <c r="E614" s="35">
        <v>3646</v>
      </c>
      <c r="F614" s="585">
        <v>1104</v>
      </c>
      <c r="G614" s="585">
        <v>2006</v>
      </c>
      <c r="H614" s="585">
        <v>3110</v>
      </c>
    </row>
    <row r="615" spans="2:8" ht="15.5">
      <c r="B615" s="299" t="s">
        <v>1584</v>
      </c>
      <c r="C615" s="35">
        <v>1314</v>
      </c>
      <c r="D615" s="35">
        <v>2381</v>
      </c>
      <c r="E615" s="35">
        <v>3695</v>
      </c>
      <c r="F615" s="585">
        <v>1442</v>
      </c>
      <c r="G615" s="585">
        <v>2279</v>
      </c>
      <c r="H615" s="585">
        <v>3721</v>
      </c>
    </row>
    <row r="616" spans="2:8" ht="15.5">
      <c r="B616" s="299" t="s">
        <v>1585</v>
      </c>
      <c r="C616" s="35">
        <v>1872</v>
      </c>
      <c r="D616" s="35">
        <v>3196</v>
      </c>
      <c r="E616" s="35">
        <v>5068</v>
      </c>
      <c r="F616" s="585">
        <v>1938</v>
      </c>
      <c r="G616" s="585">
        <v>3818</v>
      </c>
      <c r="H616" s="585">
        <v>5756</v>
      </c>
    </row>
    <row r="617" spans="2:8" ht="15.5">
      <c r="B617" s="299" t="s">
        <v>1586</v>
      </c>
      <c r="C617" s="35">
        <v>1397</v>
      </c>
      <c r="D617" s="35">
        <v>2595</v>
      </c>
      <c r="E617" s="35">
        <v>3992</v>
      </c>
      <c r="F617" s="585">
        <v>1416</v>
      </c>
      <c r="G617" s="585">
        <v>2483</v>
      </c>
      <c r="H617" s="585">
        <v>3899</v>
      </c>
    </row>
    <row r="618" spans="2:8" ht="15.5">
      <c r="B618" s="299" t="s">
        <v>1587</v>
      </c>
      <c r="C618" s="32">
        <v>716</v>
      </c>
      <c r="D618" s="35">
        <v>1888</v>
      </c>
      <c r="E618" s="35">
        <v>2604</v>
      </c>
      <c r="F618" s="745">
        <v>712</v>
      </c>
      <c r="G618" s="585">
        <v>1862</v>
      </c>
      <c r="H618" s="585">
        <v>2574</v>
      </c>
    </row>
    <row r="619" spans="2:8" ht="15.5">
      <c r="B619" s="299" t="s">
        <v>1588</v>
      </c>
      <c r="C619" s="35">
        <v>1705</v>
      </c>
      <c r="D619" s="35">
        <v>1989</v>
      </c>
      <c r="E619" s="35">
        <v>3694</v>
      </c>
      <c r="F619" s="585">
        <v>1230</v>
      </c>
      <c r="G619" s="585">
        <v>1534</v>
      </c>
      <c r="H619" s="585">
        <v>2764</v>
      </c>
    </row>
    <row r="620" spans="2:8" ht="15.5">
      <c r="B620" s="266" t="s">
        <v>1589</v>
      </c>
      <c r="C620" s="191">
        <v>10369</v>
      </c>
      <c r="D620" s="191">
        <v>18936</v>
      </c>
      <c r="E620" s="191">
        <v>29305</v>
      </c>
      <c r="F620" s="746">
        <v>10541</v>
      </c>
      <c r="G620" s="746">
        <v>18988</v>
      </c>
      <c r="H620" s="746">
        <v>29529</v>
      </c>
    </row>
    <row r="621" spans="2:8" ht="15.5">
      <c r="B621" s="299" t="s">
        <v>1590</v>
      </c>
      <c r="C621" s="35">
        <v>1213</v>
      </c>
      <c r="D621" s="35">
        <v>2770</v>
      </c>
      <c r="E621" s="35">
        <v>3983</v>
      </c>
      <c r="F621" s="745">
        <v>997</v>
      </c>
      <c r="G621" s="585">
        <v>2106</v>
      </c>
      <c r="H621" s="585">
        <v>3103</v>
      </c>
    </row>
    <row r="622" spans="2:8" ht="15.5">
      <c r="B622" s="299" t="s">
        <v>1591</v>
      </c>
      <c r="C622" s="35">
        <v>1198</v>
      </c>
      <c r="D622" s="35">
        <v>2062</v>
      </c>
      <c r="E622" s="35">
        <v>3260</v>
      </c>
      <c r="F622" s="585">
        <v>1261</v>
      </c>
      <c r="G622" s="585">
        <v>2152</v>
      </c>
      <c r="H622" s="585">
        <v>3413</v>
      </c>
    </row>
    <row r="623" spans="2:8" ht="15.5">
      <c r="B623" s="299" t="s">
        <v>1592</v>
      </c>
      <c r="C623" s="35">
        <v>1176</v>
      </c>
      <c r="D623" s="35">
        <v>4226</v>
      </c>
      <c r="E623" s="35">
        <v>5402</v>
      </c>
      <c r="F623" s="585">
        <v>1224</v>
      </c>
      <c r="G623" s="585">
        <v>3698</v>
      </c>
      <c r="H623" s="585">
        <v>4922</v>
      </c>
    </row>
    <row r="624" spans="2:8" ht="15.5">
      <c r="B624" s="299" t="s">
        <v>1593</v>
      </c>
      <c r="C624" s="35">
        <v>1770</v>
      </c>
      <c r="D624" s="35">
        <v>2502</v>
      </c>
      <c r="E624" s="35">
        <v>4272</v>
      </c>
      <c r="F624" s="585">
        <v>1276</v>
      </c>
      <c r="G624" s="585">
        <v>1893</v>
      </c>
      <c r="H624" s="585">
        <v>3169</v>
      </c>
    </row>
    <row r="625" spans="2:8" ht="15.5">
      <c r="B625" s="299" t="s">
        <v>1594</v>
      </c>
      <c r="C625" s="35">
        <v>1464</v>
      </c>
      <c r="D625" s="35">
        <v>4169</v>
      </c>
      <c r="E625" s="35">
        <v>5633</v>
      </c>
      <c r="F625" s="585">
        <v>1721</v>
      </c>
      <c r="G625" s="585">
        <v>4701</v>
      </c>
      <c r="H625" s="585">
        <v>6422</v>
      </c>
    </row>
    <row r="626" spans="2:8" ht="15.5">
      <c r="B626" s="299" t="s">
        <v>1595</v>
      </c>
      <c r="C626" s="35">
        <v>1346</v>
      </c>
      <c r="D626" s="35">
        <v>1983</v>
      </c>
      <c r="E626" s="35">
        <v>3329</v>
      </c>
      <c r="F626" s="585">
        <v>1346</v>
      </c>
      <c r="G626" s="585">
        <v>1983</v>
      </c>
      <c r="H626" s="585">
        <v>3329</v>
      </c>
    </row>
    <row r="627" spans="2:8" ht="15.5">
      <c r="B627" s="299" t="s">
        <v>1596</v>
      </c>
      <c r="C627" s="35">
        <v>3304</v>
      </c>
      <c r="D627" s="35">
        <v>4196</v>
      </c>
      <c r="E627" s="35">
        <v>7500</v>
      </c>
      <c r="F627" s="585">
        <v>3627</v>
      </c>
      <c r="G627" s="585">
        <v>4447</v>
      </c>
      <c r="H627" s="585">
        <v>8074</v>
      </c>
    </row>
    <row r="628" spans="2:8" ht="15.5">
      <c r="B628" s="266" t="s">
        <v>1597</v>
      </c>
      <c r="C628" s="191">
        <v>11471</v>
      </c>
      <c r="D628" s="191">
        <v>21908</v>
      </c>
      <c r="E628" s="191">
        <v>33379</v>
      </c>
      <c r="F628" s="746">
        <v>11452</v>
      </c>
      <c r="G628" s="746">
        <v>20980</v>
      </c>
      <c r="H628" s="746">
        <v>32432</v>
      </c>
    </row>
    <row r="629" spans="2:8" ht="15.5">
      <c r="B629" s="299" t="s">
        <v>1598</v>
      </c>
      <c r="C629" s="35">
        <v>1158</v>
      </c>
      <c r="D629" s="35">
        <v>2273</v>
      </c>
      <c r="E629" s="35">
        <v>3431</v>
      </c>
      <c r="F629" s="585">
        <v>1044</v>
      </c>
      <c r="G629" s="585">
        <v>1621</v>
      </c>
      <c r="H629" s="585">
        <v>2665</v>
      </c>
    </row>
    <row r="630" spans="2:8" ht="15.5">
      <c r="B630" s="299" t="s">
        <v>1599</v>
      </c>
      <c r="C630" s="35">
        <v>1495</v>
      </c>
      <c r="D630" s="35">
        <v>2137</v>
      </c>
      <c r="E630" s="35">
        <v>3632</v>
      </c>
      <c r="F630" s="585">
        <v>1785</v>
      </c>
      <c r="G630" s="585">
        <v>2720</v>
      </c>
      <c r="H630" s="585">
        <v>4505</v>
      </c>
    </row>
    <row r="631" spans="2:8" ht="15.5">
      <c r="B631" s="299" t="s">
        <v>1600</v>
      </c>
      <c r="C631" s="32">
        <v>818</v>
      </c>
      <c r="D631" s="35">
        <v>2523</v>
      </c>
      <c r="E631" s="35">
        <v>3341</v>
      </c>
      <c r="F631" s="745">
        <v>863</v>
      </c>
      <c r="G631" s="585">
        <v>2569</v>
      </c>
      <c r="H631" s="585">
        <v>3432</v>
      </c>
    </row>
    <row r="632" spans="2:8" ht="15.5">
      <c r="B632" s="299" t="s">
        <v>1601</v>
      </c>
      <c r="C632" s="32">
        <v>785</v>
      </c>
      <c r="D632" s="35">
        <v>1201</v>
      </c>
      <c r="E632" s="35">
        <v>1986</v>
      </c>
      <c r="F632" s="745">
        <v>587</v>
      </c>
      <c r="G632" s="585">
        <v>1240</v>
      </c>
      <c r="H632" s="585">
        <v>1827</v>
      </c>
    </row>
    <row r="633" spans="2:8" ht="15.5">
      <c r="B633" s="299" t="s">
        <v>1602</v>
      </c>
      <c r="C633" s="32">
        <v>806</v>
      </c>
      <c r="D633" s="35">
        <v>1303</v>
      </c>
      <c r="E633" s="35">
        <v>2109</v>
      </c>
      <c r="F633" s="745">
        <v>956</v>
      </c>
      <c r="G633" s="585">
        <v>1789</v>
      </c>
      <c r="H633" s="585">
        <v>2745</v>
      </c>
    </row>
    <row r="634" spans="2:8" ht="15.5">
      <c r="B634" s="299" t="s">
        <v>1603</v>
      </c>
      <c r="C634" s="35">
        <v>2905</v>
      </c>
      <c r="D634" s="35">
        <v>2543</v>
      </c>
      <c r="E634" s="35">
        <v>5448</v>
      </c>
      <c r="F634" s="585">
        <v>2260</v>
      </c>
      <c r="G634" s="585">
        <v>3996</v>
      </c>
      <c r="H634" s="585">
        <v>6256</v>
      </c>
    </row>
    <row r="635" spans="2:8" ht="15.5">
      <c r="B635" s="299" t="s">
        <v>1604</v>
      </c>
      <c r="C635" s="35">
        <v>1189</v>
      </c>
      <c r="D635" s="35">
        <v>2444</v>
      </c>
      <c r="E635" s="35">
        <v>3633</v>
      </c>
      <c r="F635" s="585">
        <v>1138</v>
      </c>
      <c r="G635" s="585">
        <v>2394</v>
      </c>
      <c r="H635" s="585">
        <v>3532</v>
      </c>
    </row>
    <row r="636" spans="2:8" ht="15.5">
      <c r="B636" s="266" t="s">
        <v>1605</v>
      </c>
      <c r="C636" s="191">
        <v>9156</v>
      </c>
      <c r="D636" s="191">
        <v>14424</v>
      </c>
      <c r="E636" s="191">
        <v>23580</v>
      </c>
      <c r="F636" s="746">
        <v>8633</v>
      </c>
      <c r="G636" s="746">
        <v>16329</v>
      </c>
      <c r="H636" s="746">
        <v>24962</v>
      </c>
    </row>
    <row r="637" spans="2:8" ht="15.5">
      <c r="B637" s="299" t="s">
        <v>1606</v>
      </c>
      <c r="C637" s="134">
        <v>1922</v>
      </c>
      <c r="D637" s="134">
        <v>3545</v>
      </c>
      <c r="E637" s="134">
        <v>5467</v>
      </c>
      <c r="F637" s="585">
        <v>1670</v>
      </c>
      <c r="G637" s="585">
        <v>3050</v>
      </c>
      <c r="H637" s="585">
        <v>4720</v>
      </c>
    </row>
    <row r="638" spans="2:8" ht="15.5">
      <c r="B638" s="299" t="s">
        <v>1607</v>
      </c>
      <c r="C638" s="134">
        <v>2072</v>
      </c>
      <c r="D638" s="134">
        <v>2644</v>
      </c>
      <c r="E638" s="134">
        <v>4716</v>
      </c>
      <c r="F638" s="585">
        <v>1469</v>
      </c>
      <c r="G638" s="585">
        <v>1993</v>
      </c>
      <c r="H638" s="585">
        <v>3462</v>
      </c>
    </row>
    <row r="639" spans="2:8" ht="15.5">
      <c r="B639" s="299" t="s">
        <v>1608</v>
      </c>
      <c r="C639" s="134">
        <v>1477</v>
      </c>
      <c r="D639" s="134">
        <v>2172</v>
      </c>
      <c r="E639" s="134">
        <v>3649</v>
      </c>
      <c r="F639" s="585">
        <v>1327</v>
      </c>
      <c r="G639" s="585">
        <v>1864</v>
      </c>
      <c r="H639" s="585">
        <v>3191</v>
      </c>
    </row>
    <row r="640" spans="2:8" ht="15.5">
      <c r="B640" s="299" t="s">
        <v>1609</v>
      </c>
      <c r="C640" s="134">
        <v>1173</v>
      </c>
      <c r="D640" s="134">
        <v>2875</v>
      </c>
      <c r="E640" s="134">
        <v>4048</v>
      </c>
      <c r="F640" s="585">
        <v>1268</v>
      </c>
      <c r="G640" s="585">
        <v>2640</v>
      </c>
      <c r="H640" s="585">
        <v>3908</v>
      </c>
    </row>
    <row r="641" spans="2:9" ht="15.5">
      <c r="B641" s="299" t="s">
        <v>1610</v>
      </c>
      <c r="C641" s="134">
        <v>1247</v>
      </c>
      <c r="D641" s="134">
        <v>2224</v>
      </c>
      <c r="E641" s="134">
        <v>3471</v>
      </c>
      <c r="F641" s="585">
        <v>1359</v>
      </c>
      <c r="G641" s="585">
        <v>2441</v>
      </c>
      <c r="H641" s="585">
        <v>3800</v>
      </c>
    </row>
    <row r="642" spans="2:9" ht="15.5">
      <c r="B642" s="266" t="s">
        <v>1611</v>
      </c>
      <c r="C642" s="34">
        <v>7891</v>
      </c>
      <c r="D642" s="34">
        <v>13460</v>
      </c>
      <c r="E642" s="34">
        <v>21351</v>
      </c>
      <c r="F642" s="746">
        <v>7093</v>
      </c>
      <c r="G642" s="746">
        <v>11988</v>
      </c>
      <c r="H642" s="746">
        <v>19081</v>
      </c>
    </row>
    <row r="643" spans="2:9" ht="15.5">
      <c r="B643" s="299" t="s">
        <v>1612</v>
      </c>
      <c r="C643" s="214">
        <v>450</v>
      </c>
      <c r="D643" s="134">
        <v>1064</v>
      </c>
      <c r="E643" s="134">
        <v>1514</v>
      </c>
      <c r="F643" s="745">
        <v>352</v>
      </c>
      <c r="G643" s="745">
        <v>840</v>
      </c>
      <c r="H643" s="585">
        <v>1192</v>
      </c>
    </row>
    <row r="644" spans="2:9" ht="15.5">
      <c r="B644" s="299" t="s">
        <v>1613</v>
      </c>
      <c r="C644" s="214">
        <v>180</v>
      </c>
      <c r="D644" s="214">
        <v>711</v>
      </c>
      <c r="E644" s="214">
        <v>891</v>
      </c>
      <c r="F644" s="745">
        <v>231</v>
      </c>
      <c r="G644" s="745">
        <v>547</v>
      </c>
      <c r="H644" s="745">
        <v>778</v>
      </c>
    </row>
    <row r="645" spans="2:9" ht="15.5">
      <c r="B645" s="299" t="s">
        <v>1614</v>
      </c>
      <c r="C645" s="214">
        <v>305</v>
      </c>
      <c r="D645" s="214">
        <v>663</v>
      </c>
      <c r="E645" s="214">
        <v>968</v>
      </c>
      <c r="F645" s="745">
        <v>398</v>
      </c>
      <c r="G645" s="745">
        <v>824</v>
      </c>
      <c r="H645" s="585">
        <v>1222</v>
      </c>
    </row>
    <row r="646" spans="2:9" ht="15.5">
      <c r="B646" s="266" t="s">
        <v>1615</v>
      </c>
      <c r="C646" s="36">
        <v>935</v>
      </c>
      <c r="D646" s="34">
        <v>2438</v>
      </c>
      <c r="E646" s="34">
        <v>3373</v>
      </c>
      <c r="F646" s="747">
        <v>981</v>
      </c>
      <c r="G646" s="746">
        <v>2211</v>
      </c>
      <c r="H646" s="746">
        <v>3192</v>
      </c>
    </row>
    <row r="647" spans="2:9" ht="15.5">
      <c r="B647" s="77" t="s">
        <v>1534</v>
      </c>
      <c r="C647" s="290">
        <v>39822</v>
      </c>
      <c r="D647" s="290">
        <v>71166</v>
      </c>
      <c r="E647" s="290">
        <v>110988</v>
      </c>
      <c r="F647" s="748">
        <v>38700</v>
      </c>
      <c r="G647" s="748">
        <v>70496</v>
      </c>
      <c r="H647" s="748">
        <v>109196</v>
      </c>
    </row>
    <row r="648" spans="2:9">
      <c r="B648" s="81" t="s">
        <v>265</v>
      </c>
    </row>
    <row r="649" spans="2:9">
      <c r="B649" s="1"/>
    </row>
    <row r="650" spans="2:9" ht="15.5">
      <c r="B650" s="88" t="s">
        <v>246</v>
      </c>
    </row>
    <row r="651" spans="2:9" ht="15.5">
      <c r="B651" s="138" t="s">
        <v>490</v>
      </c>
      <c r="C651" s="138" t="s">
        <v>670</v>
      </c>
      <c r="D651" s="71" t="s">
        <v>422</v>
      </c>
      <c r="E651" s="71" t="s">
        <v>423</v>
      </c>
      <c r="F651" s="71" t="s">
        <v>424</v>
      </c>
      <c r="G651" s="63" t="s">
        <v>941</v>
      </c>
      <c r="H651" s="63" t="s">
        <v>335</v>
      </c>
      <c r="I651" s="63" t="s">
        <v>256</v>
      </c>
    </row>
    <row r="652" spans="2:9" ht="15.5">
      <c r="B652" s="894" t="s">
        <v>493</v>
      </c>
      <c r="C652" s="104" t="s">
        <v>415</v>
      </c>
      <c r="D652" s="188">
        <v>0.76900000000000002</v>
      </c>
      <c r="E652" s="188">
        <v>0.78700000000000003</v>
      </c>
      <c r="F652" s="188">
        <v>0.80600000000000005</v>
      </c>
      <c r="G652" s="188">
        <v>0.79300000000000004</v>
      </c>
      <c r="H652" s="188">
        <v>0.68600000000000005</v>
      </c>
      <c r="I652" s="188">
        <v>0.67800000000000005</v>
      </c>
    </row>
    <row r="653" spans="2:9" ht="15.5">
      <c r="B653" s="894"/>
      <c r="C653" s="306" t="s">
        <v>625</v>
      </c>
      <c r="D653" s="200">
        <v>0.76500000000000001</v>
      </c>
      <c r="E653" s="200">
        <v>0.77900000000000003</v>
      </c>
      <c r="F653" s="200">
        <v>0.79900000000000004</v>
      </c>
      <c r="G653" s="200">
        <v>0.78</v>
      </c>
      <c r="H653" s="200">
        <v>0.67500000000000004</v>
      </c>
      <c r="I653" s="200">
        <v>0.60899999999999999</v>
      </c>
    </row>
    <row r="654" spans="2:9" ht="15.5">
      <c r="B654" s="894"/>
      <c r="C654" s="306" t="s">
        <v>626</v>
      </c>
      <c r="D654" s="200">
        <v>0.77300000000000002</v>
      </c>
      <c r="E654" s="200">
        <v>0.79500000000000004</v>
      </c>
      <c r="F654" s="200">
        <v>0.81499999999999995</v>
      </c>
      <c r="G654" s="200">
        <v>0.80700000000000005</v>
      </c>
      <c r="H654" s="200">
        <v>0.69799999999999995</v>
      </c>
      <c r="I654" s="200">
        <v>0.67200000000000004</v>
      </c>
    </row>
    <row r="655" spans="2:9" ht="15.5">
      <c r="B655" s="894" t="s">
        <v>494</v>
      </c>
      <c r="C655" s="104" t="s">
        <v>415</v>
      </c>
      <c r="D655" s="188">
        <v>0.79</v>
      </c>
      <c r="E655" s="188">
        <v>0.79700000000000004</v>
      </c>
      <c r="F655" s="188">
        <v>0.83699999999999997</v>
      </c>
      <c r="G655" s="188">
        <v>0.82199999999999995</v>
      </c>
      <c r="H655" s="188">
        <v>0.74</v>
      </c>
      <c r="I655" s="188">
        <v>0.73299999999999998</v>
      </c>
    </row>
    <row r="656" spans="2:9" ht="15.5">
      <c r="B656" s="894"/>
      <c r="C656" s="306" t="s">
        <v>625</v>
      </c>
      <c r="D656" s="200">
        <v>0.77500000000000002</v>
      </c>
      <c r="E656" s="200">
        <v>0.78300000000000003</v>
      </c>
      <c r="F656" s="200">
        <v>0.82099999999999995</v>
      </c>
      <c r="G656" s="200">
        <v>0.80100000000000005</v>
      </c>
      <c r="H656" s="200">
        <v>0.71199999999999997</v>
      </c>
      <c r="I656" s="200">
        <v>0.67800000000000005</v>
      </c>
    </row>
    <row r="657" spans="2:9" ht="15.5">
      <c r="B657" s="894"/>
      <c r="C657" s="306" t="s">
        <v>626</v>
      </c>
      <c r="D657" s="200">
        <v>0.80500000000000005</v>
      </c>
      <c r="E657" s="200">
        <v>0.81200000000000006</v>
      </c>
      <c r="F657" s="200">
        <v>0.85399999999999998</v>
      </c>
      <c r="G657" s="200">
        <v>0.84499999999999997</v>
      </c>
      <c r="H657" s="200">
        <v>0.76900000000000002</v>
      </c>
      <c r="I657" s="200">
        <v>0.74299999999999999</v>
      </c>
    </row>
    <row r="658" spans="2:9" ht="15.5">
      <c r="B658" s="894" t="s">
        <v>495</v>
      </c>
      <c r="C658" s="104" t="s">
        <v>415</v>
      </c>
      <c r="D658" s="188">
        <v>0.81299999999999994</v>
      </c>
      <c r="E658" s="188">
        <v>0.82099999999999995</v>
      </c>
      <c r="F658" s="188">
        <v>0.84799999999999998</v>
      </c>
      <c r="G658" s="188">
        <v>0.83</v>
      </c>
      <c r="H658" s="188">
        <v>0.73199999999999998</v>
      </c>
      <c r="I658" s="188">
        <v>0.77700000000000002</v>
      </c>
    </row>
    <row r="659" spans="2:9" ht="15.5">
      <c r="B659" s="894"/>
      <c r="C659" s="306" t="s">
        <v>625</v>
      </c>
      <c r="D659" s="200">
        <v>0.79</v>
      </c>
      <c r="E659" s="200">
        <v>0.80400000000000005</v>
      </c>
      <c r="F659" s="200">
        <v>0.82699999999999996</v>
      </c>
      <c r="G659" s="200">
        <v>0.80300000000000005</v>
      </c>
      <c r="H659" s="200">
        <v>0.69199999999999995</v>
      </c>
      <c r="I659" s="200">
        <v>0.72299999999999998</v>
      </c>
    </row>
    <row r="660" spans="2:9" ht="15.5">
      <c r="B660" s="894"/>
      <c r="C660" s="306" t="s">
        <v>626</v>
      </c>
      <c r="D660" s="200">
        <v>0.83599999999999997</v>
      </c>
      <c r="E660" s="200">
        <v>0.83799999999999997</v>
      </c>
      <c r="F660" s="200">
        <v>0.87</v>
      </c>
      <c r="G660" s="200">
        <v>0.85699999999999998</v>
      </c>
      <c r="H660" s="200">
        <v>0.77200000000000002</v>
      </c>
      <c r="I660" s="200">
        <v>0.73899999999999999</v>
      </c>
    </row>
    <row r="661" spans="2:9" ht="15.5">
      <c r="B661" s="894" t="s">
        <v>496</v>
      </c>
      <c r="C661" s="104" t="s">
        <v>415</v>
      </c>
      <c r="D661" s="188">
        <v>0.80700000000000005</v>
      </c>
      <c r="E661" s="188">
        <v>0.81599999999999995</v>
      </c>
      <c r="F661" s="188">
        <v>0.83799999999999997</v>
      </c>
      <c r="G661" s="188">
        <v>0.81799999999999995</v>
      </c>
      <c r="H661" s="188">
        <v>0.70299999999999996</v>
      </c>
      <c r="I661" s="188">
        <v>0.71399999999999997</v>
      </c>
    </row>
    <row r="662" spans="2:9" ht="15.5">
      <c r="B662" s="894"/>
      <c r="C662" s="306" t="s">
        <v>625</v>
      </c>
      <c r="D662" s="200">
        <v>0.78300000000000003</v>
      </c>
      <c r="E662" s="200">
        <v>0.79600000000000004</v>
      </c>
      <c r="F662" s="200">
        <v>0.81299999999999994</v>
      </c>
      <c r="G662" s="200">
        <v>0.78600000000000003</v>
      </c>
      <c r="H662" s="200">
        <v>0.65700000000000003</v>
      </c>
      <c r="I662" s="200">
        <v>0.66400000000000003</v>
      </c>
    </row>
    <row r="663" spans="2:9" ht="15.5">
      <c r="B663" s="894"/>
      <c r="C663" s="306" t="s">
        <v>626</v>
      </c>
      <c r="D663" s="200">
        <v>0.83099999999999996</v>
      </c>
      <c r="E663" s="200">
        <v>0.83599999999999997</v>
      </c>
      <c r="F663" s="200">
        <v>0.86199999999999999</v>
      </c>
      <c r="G663" s="200">
        <v>0.85099999999999998</v>
      </c>
      <c r="H663" s="200">
        <v>0.749</v>
      </c>
      <c r="I663" s="200">
        <v>0.70199999999999996</v>
      </c>
    </row>
    <row r="664" spans="2:9" ht="15.5">
      <c r="B664" s="894" t="s">
        <v>497</v>
      </c>
      <c r="C664" s="104" t="s">
        <v>415</v>
      </c>
      <c r="D664" s="188">
        <v>0.72099999999999997</v>
      </c>
      <c r="E664" s="188">
        <v>0.77400000000000002</v>
      </c>
      <c r="F664" s="188">
        <v>0.77600000000000002</v>
      </c>
      <c r="G664" s="188">
        <v>0.71</v>
      </c>
      <c r="H664" s="188">
        <v>0.54100000000000004</v>
      </c>
      <c r="I664" s="188">
        <v>0.51800000000000002</v>
      </c>
    </row>
    <row r="665" spans="2:9" ht="15.5">
      <c r="B665" s="894"/>
      <c r="C665" s="306" t="s">
        <v>625</v>
      </c>
      <c r="D665" s="200">
        <v>0.70899999999999996</v>
      </c>
      <c r="E665" s="200">
        <v>0.76400000000000001</v>
      </c>
      <c r="F665" s="200">
        <v>0.75</v>
      </c>
      <c r="G665" s="200">
        <v>0.67600000000000005</v>
      </c>
      <c r="H665" s="200">
        <v>0.49299999999999999</v>
      </c>
      <c r="I665" s="200">
        <v>0.47099999999999997</v>
      </c>
    </row>
    <row r="666" spans="2:9" ht="15.5">
      <c r="B666" s="894"/>
      <c r="C666" s="306" t="s">
        <v>626</v>
      </c>
      <c r="D666" s="200">
        <v>0.73299999999999998</v>
      </c>
      <c r="E666" s="200">
        <v>0.78300000000000003</v>
      </c>
      <c r="F666" s="200">
        <v>0.79900000000000004</v>
      </c>
      <c r="G666" s="200">
        <v>0.74199999999999999</v>
      </c>
      <c r="H666" s="200">
        <v>0.58699999999999997</v>
      </c>
      <c r="I666" s="200">
        <v>0.53500000000000003</v>
      </c>
    </row>
    <row r="667" spans="2:9" ht="15.5">
      <c r="B667" s="894" t="s">
        <v>504</v>
      </c>
      <c r="C667" s="104" t="s">
        <v>415</v>
      </c>
      <c r="D667" s="188">
        <v>0.88300000000000001</v>
      </c>
      <c r="E667" s="188">
        <v>0.872</v>
      </c>
      <c r="F667" s="188">
        <v>0.85699999999999998</v>
      </c>
      <c r="G667" s="188">
        <v>0.81699999999999995</v>
      </c>
      <c r="H667" s="188">
        <v>0.77200000000000002</v>
      </c>
      <c r="I667" s="188">
        <v>0.8</v>
      </c>
    </row>
    <row r="668" spans="2:9" ht="15.5">
      <c r="B668" s="894"/>
      <c r="C668" s="306" t="s">
        <v>625</v>
      </c>
      <c r="D668" s="169">
        <v>0.88200000000000001</v>
      </c>
      <c r="E668" s="200">
        <v>0.871</v>
      </c>
      <c r="F668" s="200">
        <v>0.84499999999999997</v>
      </c>
      <c r="G668" s="200">
        <v>0.80700000000000005</v>
      </c>
      <c r="H668" s="200">
        <v>0.74399999999999999</v>
      </c>
      <c r="I668" s="200">
        <v>0.78100000000000003</v>
      </c>
    </row>
    <row r="669" spans="2:9" ht="15.5">
      <c r="B669" s="894"/>
      <c r="C669" s="306" t="s">
        <v>626</v>
      </c>
      <c r="D669" s="169">
        <v>0.88300000000000001</v>
      </c>
      <c r="E669" s="200">
        <v>0.872</v>
      </c>
      <c r="F669" s="200">
        <v>0.86799999999999999</v>
      </c>
      <c r="G669" s="200">
        <v>0.82499999999999996</v>
      </c>
      <c r="H669" s="200">
        <v>0.79600000000000004</v>
      </c>
      <c r="I669" s="200">
        <v>0.81599999999999995</v>
      </c>
    </row>
    <row r="670" spans="2:9" ht="15.5">
      <c r="B670" s="894" t="s">
        <v>505</v>
      </c>
      <c r="C670" s="104" t="s">
        <v>415</v>
      </c>
      <c r="D670" s="188">
        <v>0.84199999999999997</v>
      </c>
      <c r="E670" s="188">
        <v>0.86499999999999999</v>
      </c>
      <c r="F670" s="188">
        <v>0.86099999999999999</v>
      </c>
      <c r="G670" s="188">
        <v>0.78200000000000003</v>
      </c>
      <c r="H670" s="188">
        <v>0.68899999999999995</v>
      </c>
      <c r="I670" s="188">
        <v>0.56100000000000005</v>
      </c>
    </row>
    <row r="671" spans="2:9" ht="15.5">
      <c r="B671" s="894"/>
      <c r="C671" s="306" t="s">
        <v>625</v>
      </c>
      <c r="D671" s="169">
        <v>0.84399999999999997</v>
      </c>
      <c r="E671" s="169">
        <v>0.87</v>
      </c>
      <c r="F671" s="169">
        <v>0.85799999999999998</v>
      </c>
      <c r="G671" s="169">
        <v>0.78400000000000003</v>
      </c>
      <c r="H671" s="169">
        <v>0.68</v>
      </c>
      <c r="I671" s="169">
        <v>0.55600000000000005</v>
      </c>
    </row>
    <row r="672" spans="2:9" ht="15.5">
      <c r="B672" s="894"/>
      <c r="C672" s="306" t="s">
        <v>626</v>
      </c>
      <c r="D672" s="169">
        <v>0.84499999999999997</v>
      </c>
      <c r="E672" s="169">
        <v>0.86099999999999999</v>
      </c>
      <c r="F672" s="169">
        <v>0.86299999999999999</v>
      </c>
      <c r="G672" s="169">
        <v>0.78</v>
      </c>
      <c r="H672" s="169">
        <v>0.69599999999999995</v>
      </c>
      <c r="I672" s="169">
        <v>0.56599999999999995</v>
      </c>
    </row>
    <row r="673" spans="2:9" ht="15.5">
      <c r="B673" s="894" t="s">
        <v>507</v>
      </c>
      <c r="C673" s="104" t="s">
        <v>415</v>
      </c>
      <c r="D673" s="188">
        <v>0.93</v>
      </c>
      <c r="E673" s="188">
        <v>0.94299999999999995</v>
      </c>
      <c r="F673" s="188">
        <v>0.90900000000000003</v>
      </c>
      <c r="G673" s="188">
        <v>0.84799999999999998</v>
      </c>
      <c r="H673" s="188">
        <v>0.86299999999999999</v>
      </c>
      <c r="I673" s="188">
        <v>0.90600000000000003</v>
      </c>
    </row>
    <row r="674" spans="2:9" ht="15.5">
      <c r="B674" s="894"/>
      <c r="C674" s="306" t="s">
        <v>625</v>
      </c>
      <c r="D674" s="169">
        <v>0.94</v>
      </c>
      <c r="E674" s="169">
        <v>0.94699999999999995</v>
      </c>
      <c r="F674" s="169">
        <v>0.91</v>
      </c>
      <c r="G674" s="169">
        <v>0.85899999999999999</v>
      </c>
      <c r="H674" s="169">
        <v>0.85699999999999998</v>
      </c>
      <c r="I674" s="169">
        <v>0.89900000000000002</v>
      </c>
    </row>
    <row r="675" spans="2:9" ht="15.5">
      <c r="B675" s="894"/>
      <c r="C675" s="306" t="s">
        <v>626</v>
      </c>
      <c r="D675" s="169">
        <v>0.91900000000000004</v>
      </c>
      <c r="E675" s="169">
        <v>0.94</v>
      </c>
      <c r="F675" s="169">
        <v>0.90700000000000003</v>
      </c>
      <c r="G675" s="169">
        <v>0.83899999999999997</v>
      </c>
      <c r="H675" s="169">
        <v>0.86899999999999999</v>
      </c>
      <c r="I675" s="169">
        <v>0.91200000000000003</v>
      </c>
    </row>
    <row r="676" spans="2:9" ht="15.5">
      <c r="B676" s="894" t="s">
        <v>508</v>
      </c>
      <c r="C676" s="104" t="s">
        <v>415</v>
      </c>
      <c r="D676" s="188">
        <v>0.96</v>
      </c>
      <c r="E676" s="188">
        <v>0.96799999999999997</v>
      </c>
      <c r="F676" s="188">
        <v>0.94599999999999995</v>
      </c>
      <c r="G676" s="188">
        <v>0.89900000000000002</v>
      </c>
      <c r="H676" s="188">
        <v>0.93</v>
      </c>
      <c r="I676" s="188">
        <v>0.876</v>
      </c>
    </row>
    <row r="677" spans="2:9" ht="15.5">
      <c r="B677" s="894"/>
      <c r="C677" s="306" t="s">
        <v>625</v>
      </c>
      <c r="D677" s="169">
        <v>0.97</v>
      </c>
      <c r="E677" s="169">
        <v>0.96799999999999997</v>
      </c>
      <c r="F677" s="169">
        <v>0.95599999999999996</v>
      </c>
      <c r="G677" s="169">
        <v>0.90500000000000003</v>
      </c>
      <c r="H677" s="169">
        <v>0.94299999999999995</v>
      </c>
      <c r="I677" s="169">
        <v>0.88300000000000001</v>
      </c>
    </row>
    <row r="678" spans="2:9" ht="15.5">
      <c r="B678" s="894"/>
      <c r="C678" s="306" t="s">
        <v>626</v>
      </c>
      <c r="D678" s="169">
        <v>0.94899999999999995</v>
      </c>
      <c r="E678" s="169">
        <v>0.96799999999999997</v>
      </c>
      <c r="F678" s="169">
        <v>0.93700000000000006</v>
      </c>
      <c r="G678" s="169">
        <v>0.89400000000000002</v>
      </c>
      <c r="H678" s="169">
        <v>0.91900000000000004</v>
      </c>
      <c r="I678" s="169">
        <v>0.87</v>
      </c>
    </row>
    <row r="679" spans="2:9">
      <c r="B679" s="81" t="s">
        <v>265</v>
      </c>
    </row>
    <row r="681" spans="2:9" ht="15.5">
      <c r="B681" s="88" t="s">
        <v>247</v>
      </c>
    </row>
    <row r="682" spans="2:9" ht="15.5">
      <c r="B682" s="139" t="s">
        <v>490</v>
      </c>
      <c r="C682" s="138" t="s">
        <v>670</v>
      </c>
      <c r="D682" s="71" t="s">
        <v>422</v>
      </c>
      <c r="E682" s="71" t="s">
        <v>423</v>
      </c>
      <c r="F682" s="71" t="s">
        <v>424</v>
      </c>
      <c r="G682" s="63" t="s">
        <v>941</v>
      </c>
      <c r="H682" s="63" t="s">
        <v>335</v>
      </c>
      <c r="I682" s="63" t="s">
        <v>256</v>
      </c>
    </row>
    <row r="683" spans="2:9" ht="15.5">
      <c r="B683" s="894" t="s">
        <v>492</v>
      </c>
      <c r="C683" s="104" t="s">
        <v>415</v>
      </c>
      <c r="D683" s="188">
        <v>0.216</v>
      </c>
      <c r="E683" s="188">
        <v>0.20499999999999999</v>
      </c>
      <c r="F683" s="188">
        <v>0.15</v>
      </c>
      <c r="G683" s="188">
        <v>0.16</v>
      </c>
      <c r="H683" s="188">
        <v>0.29799999999999999</v>
      </c>
      <c r="I683" s="188">
        <v>0.36199999999999999</v>
      </c>
    </row>
    <row r="684" spans="2:9" ht="15.5">
      <c r="B684" s="894"/>
      <c r="C684" s="306" t="s">
        <v>625</v>
      </c>
      <c r="D684" s="200">
        <v>0.222</v>
      </c>
      <c r="E684" s="200">
        <v>0.214</v>
      </c>
      <c r="F684" s="200">
        <v>0.157</v>
      </c>
      <c r="G684" s="200">
        <v>0.16300000000000001</v>
      </c>
      <c r="H684" s="200">
        <v>0.32200000000000001</v>
      </c>
      <c r="I684" s="200">
        <v>0.35599999999999998</v>
      </c>
    </row>
    <row r="685" spans="2:9" ht="15.5">
      <c r="B685" s="894"/>
      <c r="C685" s="306" t="s">
        <v>626</v>
      </c>
      <c r="D685" s="200">
        <v>0.21</v>
      </c>
      <c r="E685" s="200">
        <v>0.19600000000000001</v>
      </c>
      <c r="F685" s="200">
        <v>0.14299999999999999</v>
      </c>
      <c r="G685" s="200">
        <v>0.157</v>
      </c>
      <c r="H685" s="200">
        <v>0.27400000000000002</v>
      </c>
      <c r="I685" s="200">
        <v>0.32200000000000001</v>
      </c>
    </row>
    <row r="686" spans="2:9" ht="15.5">
      <c r="B686" s="894" t="s">
        <v>493</v>
      </c>
      <c r="C686" s="104" t="s">
        <v>415</v>
      </c>
      <c r="D686" s="188">
        <v>0.161</v>
      </c>
      <c r="E686" s="188">
        <v>0.13700000000000001</v>
      </c>
      <c r="F686" s="188">
        <v>0.104</v>
      </c>
      <c r="G686" s="188">
        <v>0.11700000000000001</v>
      </c>
      <c r="H686" s="188">
        <v>0.23</v>
      </c>
      <c r="I686" s="188">
        <v>0.27500000000000002</v>
      </c>
    </row>
    <row r="687" spans="2:9" ht="15.5">
      <c r="B687" s="894"/>
      <c r="C687" s="306" t="s">
        <v>625</v>
      </c>
      <c r="D687" s="200">
        <v>0.17199999999999999</v>
      </c>
      <c r="E687" s="200">
        <v>0.14599999999999999</v>
      </c>
      <c r="F687" s="200">
        <v>0.112</v>
      </c>
      <c r="G687" s="200">
        <v>0.122</v>
      </c>
      <c r="H687" s="200">
        <v>0.25600000000000001</v>
      </c>
      <c r="I687" s="200">
        <v>0.29399999999999998</v>
      </c>
    </row>
    <row r="688" spans="2:9" ht="15.5">
      <c r="B688" s="894"/>
      <c r="C688" s="306" t="s">
        <v>626</v>
      </c>
      <c r="D688" s="200">
        <v>0.14899999999999999</v>
      </c>
      <c r="E688" s="200">
        <v>0.127</v>
      </c>
      <c r="F688" s="200">
        <v>9.7000000000000003E-2</v>
      </c>
      <c r="G688" s="200">
        <v>0.112</v>
      </c>
      <c r="H688" s="200">
        <v>0.20200000000000001</v>
      </c>
      <c r="I688" s="200">
        <v>0.23799999999999999</v>
      </c>
    </row>
    <row r="689" spans="2:9" ht="15.5">
      <c r="B689" s="894" t="s">
        <v>494</v>
      </c>
      <c r="C689" s="104" t="s">
        <v>415</v>
      </c>
      <c r="D689" s="188">
        <v>0.128</v>
      </c>
      <c r="E689" s="188">
        <v>0.123</v>
      </c>
      <c r="F689" s="188">
        <v>9.1999999999999998E-2</v>
      </c>
      <c r="G689" s="188">
        <v>0.106</v>
      </c>
      <c r="H689" s="188">
        <v>0.20100000000000001</v>
      </c>
      <c r="I689" s="188">
        <v>0.23699999999999999</v>
      </c>
    </row>
    <row r="690" spans="2:9" ht="15.5">
      <c r="B690" s="894"/>
      <c r="C690" s="306" t="s">
        <v>625</v>
      </c>
      <c r="D690" s="200">
        <v>0.15</v>
      </c>
      <c r="E690" s="200">
        <v>0.13300000000000001</v>
      </c>
      <c r="F690" s="200">
        <v>0.1</v>
      </c>
      <c r="G690" s="200">
        <v>0.112</v>
      </c>
      <c r="H690" s="200">
        <v>0.22500000000000001</v>
      </c>
      <c r="I690" s="200">
        <v>0.25900000000000001</v>
      </c>
    </row>
    <row r="691" spans="2:9" ht="15.5">
      <c r="B691" s="894"/>
      <c r="C691" s="306" t="s">
        <v>626</v>
      </c>
      <c r="D691" s="200">
        <v>0.107</v>
      </c>
      <c r="E691" s="200">
        <v>0.112</v>
      </c>
      <c r="F691" s="200">
        <v>8.3000000000000004E-2</v>
      </c>
      <c r="G691" s="200">
        <v>0.1</v>
      </c>
      <c r="H691" s="200">
        <v>0.17699999999999999</v>
      </c>
      <c r="I691" s="200">
        <v>0.188</v>
      </c>
    </row>
    <row r="692" spans="2:9" ht="15.5">
      <c r="B692" s="894" t="s">
        <v>495</v>
      </c>
      <c r="C692" s="104" t="s">
        <v>415</v>
      </c>
      <c r="D692" s="188">
        <v>0.13100000000000001</v>
      </c>
      <c r="E692" s="188">
        <v>0.123</v>
      </c>
      <c r="F692" s="188">
        <v>9.2999999999999999E-2</v>
      </c>
      <c r="G692" s="188">
        <v>0.10299999999999999</v>
      </c>
      <c r="H692" s="188">
        <v>0.21</v>
      </c>
      <c r="I692" s="188">
        <v>0.28000000000000003</v>
      </c>
    </row>
    <row r="693" spans="2:9" ht="15.5">
      <c r="B693" s="894"/>
      <c r="C693" s="306" t="s">
        <v>625</v>
      </c>
      <c r="D693" s="200">
        <v>0.152</v>
      </c>
      <c r="E693" s="200">
        <v>0.13300000000000001</v>
      </c>
      <c r="F693" s="200">
        <v>0.10199999999999999</v>
      </c>
      <c r="G693" s="200">
        <v>0.109</v>
      </c>
      <c r="H693" s="200">
        <v>0.23200000000000001</v>
      </c>
      <c r="I693" s="200">
        <v>0.29699999999999999</v>
      </c>
    </row>
    <row r="694" spans="2:9" ht="15.5">
      <c r="B694" s="894"/>
      <c r="C694" s="306" t="s">
        <v>626</v>
      </c>
      <c r="D694" s="200">
        <v>0.11</v>
      </c>
      <c r="E694" s="200">
        <v>0.113</v>
      </c>
      <c r="F694" s="200">
        <v>8.4000000000000005E-2</v>
      </c>
      <c r="G694" s="200">
        <v>9.6000000000000002E-2</v>
      </c>
      <c r="H694" s="200">
        <v>0.188</v>
      </c>
      <c r="I694" s="200">
        <v>0.23899999999999999</v>
      </c>
    </row>
    <row r="695" spans="2:9" ht="15.5">
      <c r="B695" s="894" t="s">
        <v>496</v>
      </c>
      <c r="C695" s="104" t="s">
        <v>415</v>
      </c>
      <c r="D695" s="188">
        <v>0.182</v>
      </c>
      <c r="E695" s="188">
        <v>0.14000000000000001</v>
      </c>
      <c r="F695" s="188">
        <v>0.107</v>
      </c>
      <c r="G695" s="188">
        <v>0.11600000000000001</v>
      </c>
      <c r="H695" s="188">
        <v>0.247</v>
      </c>
      <c r="I695" s="188">
        <v>0.33100000000000002</v>
      </c>
    </row>
    <row r="696" spans="2:9" ht="15.5">
      <c r="B696" s="894"/>
      <c r="C696" s="306" t="s">
        <v>625</v>
      </c>
      <c r="D696" s="200">
        <v>0.185</v>
      </c>
      <c r="E696" s="200">
        <v>0.14799999999999999</v>
      </c>
      <c r="F696" s="200">
        <v>0.11600000000000001</v>
      </c>
      <c r="G696" s="200">
        <v>0.123</v>
      </c>
      <c r="H696" s="200">
        <v>0.26500000000000001</v>
      </c>
      <c r="I696" s="200">
        <v>0.34599999999999997</v>
      </c>
    </row>
    <row r="697" spans="2:9" ht="15.5">
      <c r="B697" s="894"/>
      <c r="C697" s="306" t="s">
        <v>626</v>
      </c>
      <c r="D697" s="200">
        <v>0.18</v>
      </c>
      <c r="E697" s="200">
        <v>0.13300000000000001</v>
      </c>
      <c r="F697" s="200">
        <v>9.9000000000000005E-2</v>
      </c>
      <c r="G697" s="200">
        <v>0.11</v>
      </c>
      <c r="H697" s="200">
        <v>0.23</v>
      </c>
      <c r="I697" s="200">
        <v>0.30199999999999999</v>
      </c>
    </row>
    <row r="698" spans="2:9" ht="15.5">
      <c r="B698" s="894" t="s">
        <v>497</v>
      </c>
      <c r="C698" s="104" t="s">
        <v>415</v>
      </c>
      <c r="D698" s="188">
        <v>0.10100000000000001</v>
      </c>
      <c r="E698" s="188">
        <v>1.4999999999999999E-2</v>
      </c>
      <c r="F698" s="188">
        <v>1.0999999999999999E-2</v>
      </c>
      <c r="G698" s="188">
        <v>1.2E-2</v>
      </c>
      <c r="H698" s="188">
        <v>5.1999999999999998E-2</v>
      </c>
      <c r="I698" s="188">
        <v>3.3000000000000002E-2</v>
      </c>
    </row>
    <row r="699" spans="2:9" ht="15.5">
      <c r="B699" s="894"/>
      <c r="C699" s="306" t="s">
        <v>625</v>
      </c>
      <c r="D699" s="169">
        <v>0.14499999999999999</v>
      </c>
      <c r="E699" s="200">
        <v>1.4999999999999999E-2</v>
      </c>
      <c r="F699" s="200">
        <v>1.0999999999999999E-2</v>
      </c>
      <c r="G699" s="200">
        <v>1.2E-2</v>
      </c>
      <c r="H699" s="200">
        <v>5.5E-2</v>
      </c>
      <c r="I699" s="200">
        <v>3.4000000000000002E-2</v>
      </c>
    </row>
    <row r="700" spans="2:9" ht="15.5">
      <c r="B700" s="894"/>
      <c r="C700" s="306" t="s">
        <v>626</v>
      </c>
      <c r="D700" s="169">
        <v>5.7000000000000002E-2</v>
      </c>
      <c r="E700" s="200">
        <v>1.4999999999999999E-2</v>
      </c>
      <c r="F700" s="200">
        <v>1.0999999999999999E-2</v>
      </c>
      <c r="G700" s="200">
        <v>1.2E-2</v>
      </c>
      <c r="H700" s="200">
        <v>4.9000000000000002E-2</v>
      </c>
      <c r="I700" s="200">
        <v>3.3000000000000002E-2</v>
      </c>
    </row>
    <row r="701" spans="2:9" ht="15.5">
      <c r="B701" s="894" t="s">
        <v>503</v>
      </c>
      <c r="C701" s="104" t="s">
        <v>415</v>
      </c>
      <c r="D701" s="188">
        <v>7.6999999999999999E-2</v>
      </c>
      <c r="E701" s="188">
        <v>0.06</v>
      </c>
      <c r="F701" s="188">
        <v>5.1999999999999998E-2</v>
      </c>
      <c r="G701" s="188">
        <v>9.9000000000000005E-2</v>
      </c>
      <c r="H701" s="188">
        <v>0.13900000000000001</v>
      </c>
      <c r="I701" s="188">
        <v>0.18</v>
      </c>
    </row>
    <row r="702" spans="2:9" ht="15.5">
      <c r="B702" s="894"/>
      <c r="C702" s="306" t="s">
        <v>625</v>
      </c>
      <c r="D702" s="169">
        <v>0.08</v>
      </c>
      <c r="E702" s="169">
        <v>6.4000000000000001E-2</v>
      </c>
      <c r="F702" s="169">
        <v>5.8999999999999997E-2</v>
      </c>
      <c r="G702" s="169">
        <v>0.105</v>
      </c>
      <c r="H702" s="169">
        <v>0.155</v>
      </c>
      <c r="I702" s="169">
        <v>0.19500000000000001</v>
      </c>
    </row>
    <row r="703" spans="2:9" ht="15.5">
      <c r="B703" s="894"/>
      <c r="C703" s="306" t="s">
        <v>626</v>
      </c>
      <c r="D703" s="169">
        <v>7.4999999999999997E-2</v>
      </c>
      <c r="E703" s="169">
        <v>5.6000000000000001E-2</v>
      </c>
      <c r="F703" s="169">
        <v>4.5999999999999999E-2</v>
      </c>
      <c r="G703" s="169">
        <v>9.4E-2</v>
      </c>
      <c r="H703" s="169">
        <v>0.124</v>
      </c>
      <c r="I703" s="169">
        <v>0.16700000000000001</v>
      </c>
    </row>
    <row r="704" spans="2:9" ht="15.5">
      <c r="B704" s="894" t="s">
        <v>504</v>
      </c>
      <c r="C704" s="104" t="s">
        <v>415</v>
      </c>
      <c r="D704" s="188">
        <v>7.0000000000000007E-2</v>
      </c>
      <c r="E704" s="188">
        <v>0.06</v>
      </c>
      <c r="F704" s="188">
        <v>4.8000000000000001E-2</v>
      </c>
      <c r="G704" s="188">
        <v>7.6999999999999999E-2</v>
      </c>
      <c r="H704" s="188">
        <v>0.14299999999999999</v>
      </c>
      <c r="I704" s="188">
        <v>0.23699999999999999</v>
      </c>
    </row>
    <row r="705" spans="2:9" ht="15.5">
      <c r="B705" s="894"/>
      <c r="C705" s="306" t="s">
        <v>625</v>
      </c>
      <c r="D705" s="169">
        <v>7.2999999999999995E-2</v>
      </c>
      <c r="E705" s="169">
        <v>6.4000000000000001E-2</v>
      </c>
      <c r="F705" s="169">
        <v>5.2999999999999999E-2</v>
      </c>
      <c r="G705" s="169">
        <v>8.2000000000000003E-2</v>
      </c>
      <c r="H705" s="169">
        <v>0.151</v>
      </c>
      <c r="I705" s="169">
        <v>0.24099999999999999</v>
      </c>
    </row>
    <row r="706" spans="2:9" ht="15.5">
      <c r="B706" s="894"/>
      <c r="C706" s="306" t="s">
        <v>626</v>
      </c>
      <c r="D706" s="169">
        <v>6.8000000000000005E-2</v>
      </c>
      <c r="E706" s="169">
        <v>5.7000000000000002E-2</v>
      </c>
      <c r="F706" s="169">
        <v>4.2999999999999997E-2</v>
      </c>
      <c r="G706" s="169">
        <v>7.2999999999999995E-2</v>
      </c>
      <c r="H706" s="169">
        <v>0.13600000000000001</v>
      </c>
      <c r="I706" s="169">
        <v>0.23300000000000001</v>
      </c>
    </row>
    <row r="707" spans="2:9" ht="15.5">
      <c r="B707" s="894" t="s">
        <v>505</v>
      </c>
      <c r="C707" s="104" t="s">
        <v>415</v>
      </c>
      <c r="D707" s="188">
        <v>1.2E-2</v>
      </c>
      <c r="E707" s="188">
        <v>6.0000000000000001E-3</v>
      </c>
      <c r="F707" s="188">
        <v>7.0000000000000001E-3</v>
      </c>
      <c r="G707" s="188">
        <v>1.2E-2</v>
      </c>
      <c r="H707" s="188">
        <v>4.2000000000000003E-2</v>
      </c>
      <c r="I707" s="188">
        <v>4.2999999999999997E-2</v>
      </c>
    </row>
    <row r="708" spans="2:9" ht="15.5">
      <c r="B708" s="894"/>
      <c r="C708" s="306" t="s">
        <v>625</v>
      </c>
      <c r="D708" s="169">
        <v>0.01</v>
      </c>
      <c r="E708" s="169">
        <v>6.0000000000000001E-3</v>
      </c>
      <c r="F708" s="169">
        <v>6.0000000000000001E-3</v>
      </c>
      <c r="G708" s="169">
        <v>1.2E-2</v>
      </c>
      <c r="H708" s="169">
        <v>3.4000000000000002E-2</v>
      </c>
      <c r="I708" s="169">
        <v>3.2000000000000001E-2</v>
      </c>
    </row>
    <row r="709" spans="2:9" ht="15.5">
      <c r="B709" s="894"/>
      <c r="C709" s="306" t="s">
        <v>626</v>
      </c>
      <c r="D709" s="169">
        <v>1.2999999999999999E-2</v>
      </c>
      <c r="E709" s="169">
        <v>7.0000000000000001E-3</v>
      </c>
      <c r="F709" s="169">
        <v>8.0000000000000002E-3</v>
      </c>
      <c r="G709" s="169">
        <v>1.2E-2</v>
      </c>
      <c r="H709" s="169">
        <v>4.9000000000000002E-2</v>
      </c>
      <c r="I709" s="169">
        <v>5.1999999999999998E-2</v>
      </c>
    </row>
    <row r="710" spans="2:9" ht="15.5">
      <c r="B710" s="894" t="s">
        <v>506</v>
      </c>
      <c r="C710" s="104" t="s">
        <v>415</v>
      </c>
      <c r="D710" s="188">
        <v>3.1E-2</v>
      </c>
      <c r="E710" s="188">
        <v>0.03</v>
      </c>
      <c r="F710" s="188">
        <v>2.5000000000000001E-2</v>
      </c>
      <c r="G710" s="188">
        <v>5.6000000000000001E-2</v>
      </c>
      <c r="H710" s="188">
        <v>5.2999999999999999E-2</v>
      </c>
      <c r="I710" s="188">
        <v>6.2E-2</v>
      </c>
    </row>
    <row r="711" spans="2:9" ht="15.5">
      <c r="B711" s="894"/>
      <c r="C711" s="306" t="s">
        <v>625</v>
      </c>
      <c r="D711" s="169">
        <v>2.7E-2</v>
      </c>
      <c r="E711" s="169">
        <v>2.8000000000000001E-2</v>
      </c>
      <c r="F711" s="169">
        <v>2.4E-2</v>
      </c>
      <c r="G711" s="169">
        <v>5.2999999999999999E-2</v>
      </c>
      <c r="H711" s="169">
        <v>4.7E-2</v>
      </c>
      <c r="I711" s="169">
        <v>5.0999999999999997E-2</v>
      </c>
    </row>
    <row r="712" spans="2:9" ht="15.5">
      <c r="B712" s="894"/>
      <c r="C712" s="306" t="s">
        <v>626</v>
      </c>
      <c r="D712" s="169">
        <v>3.5000000000000003E-2</v>
      </c>
      <c r="E712" s="169">
        <v>3.2000000000000001E-2</v>
      </c>
      <c r="F712" s="169">
        <v>2.5999999999999999E-2</v>
      </c>
      <c r="G712" s="169">
        <v>5.8000000000000003E-2</v>
      </c>
      <c r="H712" s="169">
        <v>5.8000000000000003E-2</v>
      </c>
      <c r="I712" s="169">
        <v>7.0999999999999994E-2</v>
      </c>
    </row>
    <row r="713" spans="2:9" ht="15.5">
      <c r="B713" s="894" t="s">
        <v>507</v>
      </c>
      <c r="C713" s="104" t="s">
        <v>415</v>
      </c>
      <c r="D713" s="188">
        <v>3.1E-2</v>
      </c>
      <c r="E713" s="188">
        <v>2.7E-2</v>
      </c>
      <c r="F713" s="188">
        <v>2.1000000000000001E-2</v>
      </c>
      <c r="G713" s="188">
        <v>4.2999999999999997E-2</v>
      </c>
      <c r="H713" s="188">
        <v>4.2999999999999997E-2</v>
      </c>
      <c r="I713" s="188">
        <v>6.4000000000000001E-2</v>
      </c>
    </row>
    <row r="714" spans="2:9" ht="15.5">
      <c r="B714" s="894"/>
      <c r="C714" s="306" t="s">
        <v>625</v>
      </c>
      <c r="D714" s="169">
        <v>2.5999999999999999E-2</v>
      </c>
      <c r="E714" s="169">
        <v>2.1000000000000001E-2</v>
      </c>
      <c r="F714" s="169">
        <v>0.02</v>
      </c>
      <c r="G714" s="169">
        <v>4.2000000000000003E-2</v>
      </c>
      <c r="H714" s="169">
        <v>3.4000000000000002E-2</v>
      </c>
      <c r="I714" s="169">
        <v>4.9000000000000002E-2</v>
      </c>
    </row>
    <row r="715" spans="2:9" ht="15.5">
      <c r="B715" s="894"/>
      <c r="C715" s="306" t="s">
        <v>626</v>
      </c>
      <c r="D715" s="169">
        <v>3.6999999999999998E-2</v>
      </c>
      <c r="E715" s="169">
        <v>3.1E-2</v>
      </c>
      <c r="F715" s="169">
        <v>2.1999999999999999E-2</v>
      </c>
      <c r="G715" s="169">
        <v>4.3999999999999997E-2</v>
      </c>
      <c r="H715" s="169">
        <v>0.05</v>
      </c>
      <c r="I715" s="169">
        <v>7.8E-2</v>
      </c>
    </row>
    <row r="716" spans="2:9" ht="15.5">
      <c r="B716" s="894" t="s">
        <v>508</v>
      </c>
      <c r="C716" s="104" t="s">
        <v>415</v>
      </c>
      <c r="D716" s="188">
        <v>1.2E-2</v>
      </c>
      <c r="E716" s="188">
        <v>0.01</v>
      </c>
      <c r="F716" s="188">
        <v>8.0000000000000002E-3</v>
      </c>
      <c r="G716" s="188">
        <v>1.0999999999999999E-2</v>
      </c>
      <c r="H716" s="188">
        <v>2.4E-2</v>
      </c>
      <c r="I716" s="188">
        <v>8.0000000000000002E-3</v>
      </c>
    </row>
    <row r="717" spans="2:9" ht="15.5">
      <c r="B717" s="894"/>
      <c r="C717" s="306" t="s">
        <v>625</v>
      </c>
      <c r="D717" s="169">
        <v>8.9999999999999993E-3</v>
      </c>
      <c r="E717" s="169">
        <v>8.9999999999999993E-3</v>
      </c>
      <c r="F717" s="169">
        <v>7.0000000000000001E-3</v>
      </c>
      <c r="G717" s="169">
        <v>1.0999999999999999E-2</v>
      </c>
      <c r="H717" s="169">
        <v>2.1000000000000001E-2</v>
      </c>
      <c r="I717" s="169">
        <v>7.0000000000000001E-3</v>
      </c>
    </row>
    <row r="718" spans="2:9" ht="15.5">
      <c r="B718" s="894"/>
      <c r="C718" s="306" t="s">
        <v>626</v>
      </c>
      <c r="D718" s="169">
        <v>1.4999999999999999E-2</v>
      </c>
      <c r="E718" s="169">
        <v>1.0999999999999999E-2</v>
      </c>
      <c r="F718" s="169">
        <v>0.01</v>
      </c>
      <c r="G718" s="169">
        <v>1.0999999999999999E-2</v>
      </c>
      <c r="H718" s="169">
        <v>2.7E-2</v>
      </c>
      <c r="I718" s="169">
        <v>8.0000000000000002E-3</v>
      </c>
    </row>
    <row r="719" spans="2:9">
      <c r="B719" s="81" t="s">
        <v>265</v>
      </c>
    </row>
    <row r="720" spans="2:9">
      <c r="B720" s="81"/>
    </row>
    <row r="721" spans="2:9" ht="15.5">
      <c r="B721" s="88" t="s">
        <v>248</v>
      </c>
    </row>
    <row r="722" spans="2:9" ht="15.5">
      <c r="B722" s="139" t="s">
        <v>490</v>
      </c>
      <c r="C722" s="139" t="s">
        <v>670</v>
      </c>
      <c r="D722" s="71" t="s">
        <v>422</v>
      </c>
      <c r="E722" s="71" t="s">
        <v>423</v>
      </c>
      <c r="F722" s="71" t="s">
        <v>424</v>
      </c>
      <c r="G722" s="63" t="s">
        <v>941</v>
      </c>
      <c r="H722" s="63" t="s">
        <v>335</v>
      </c>
      <c r="I722" s="63" t="s">
        <v>256</v>
      </c>
    </row>
    <row r="723" spans="2:9" ht="15.5">
      <c r="B723" s="894" t="s">
        <v>492</v>
      </c>
      <c r="C723" s="104" t="s">
        <v>415</v>
      </c>
      <c r="D723" s="188">
        <v>1.4999999999999999E-2</v>
      </c>
      <c r="E723" s="188">
        <v>8.0000000000000002E-3</v>
      </c>
      <c r="F723" s="188">
        <v>4.3999999999999997E-2</v>
      </c>
      <c r="G723" s="188">
        <v>4.7E-2</v>
      </c>
      <c r="H723" s="188">
        <v>1.6E-2</v>
      </c>
      <c r="I723" s="188" t="s">
        <v>1635</v>
      </c>
    </row>
    <row r="724" spans="2:9" ht="15.5">
      <c r="B724" s="894"/>
      <c r="C724" s="306" t="s">
        <v>625</v>
      </c>
      <c r="D724" s="200">
        <v>1.2999999999999999E-2</v>
      </c>
      <c r="E724" s="200">
        <v>7.0000000000000001E-3</v>
      </c>
      <c r="F724" s="200">
        <v>4.4999999999999998E-2</v>
      </c>
      <c r="G724" s="200">
        <v>5.7000000000000002E-2</v>
      </c>
      <c r="H724" s="200">
        <v>4.0000000000000001E-3</v>
      </c>
      <c r="I724" s="200" t="s">
        <v>1636</v>
      </c>
    </row>
    <row r="725" spans="2:9" ht="15.5">
      <c r="B725" s="894"/>
      <c r="C725" s="306" t="s">
        <v>626</v>
      </c>
      <c r="D725" s="200">
        <v>1.7000000000000001E-2</v>
      </c>
      <c r="E725" s="200">
        <v>8.9999999999999993E-3</v>
      </c>
      <c r="F725" s="200">
        <v>4.2000000000000003E-2</v>
      </c>
      <c r="G725" s="200">
        <v>3.5999999999999997E-2</v>
      </c>
      <c r="H725" s="200">
        <v>2.8000000000000001E-2</v>
      </c>
      <c r="I725" s="200" t="s">
        <v>1637</v>
      </c>
    </row>
    <row r="726" spans="2:9" ht="15.5">
      <c r="B726" s="894" t="s">
        <v>493</v>
      </c>
      <c r="C726" s="104" t="s">
        <v>415</v>
      </c>
      <c r="D726" s="188">
        <v>0.05</v>
      </c>
      <c r="E726" s="188">
        <v>6.6000000000000003E-2</v>
      </c>
      <c r="F726" s="188">
        <v>5.8000000000000003E-2</v>
      </c>
      <c r="G726" s="188">
        <v>0.06</v>
      </c>
      <c r="H726" s="188">
        <v>0.03</v>
      </c>
      <c r="I726" s="188" t="s">
        <v>1638</v>
      </c>
    </row>
    <row r="727" spans="2:9" ht="15.5">
      <c r="B727" s="894"/>
      <c r="C727" s="306" t="s">
        <v>625</v>
      </c>
      <c r="D727" s="200">
        <v>5.2999999999999999E-2</v>
      </c>
      <c r="E727" s="200">
        <v>7.0999999999999994E-2</v>
      </c>
      <c r="F727" s="200">
        <v>6.7000000000000004E-2</v>
      </c>
      <c r="G727" s="200">
        <v>7.6999999999999999E-2</v>
      </c>
      <c r="H727" s="200">
        <v>3.2000000000000001E-2</v>
      </c>
      <c r="I727" s="200" t="s">
        <v>709</v>
      </c>
    </row>
    <row r="728" spans="2:9" ht="15.5">
      <c r="B728" s="894"/>
      <c r="C728" s="306" t="s">
        <v>626</v>
      </c>
      <c r="D728" s="200">
        <v>4.5999999999999999E-2</v>
      </c>
      <c r="E728" s="200">
        <v>0.06</v>
      </c>
      <c r="F728" s="200">
        <v>4.9000000000000002E-2</v>
      </c>
      <c r="G728" s="200">
        <v>4.2999999999999997E-2</v>
      </c>
      <c r="H728" s="200">
        <v>2.9000000000000001E-2</v>
      </c>
      <c r="I728" s="200" t="s">
        <v>1639</v>
      </c>
    </row>
    <row r="729" spans="2:9" ht="15.5">
      <c r="B729" s="894" t="s">
        <v>494</v>
      </c>
      <c r="C729" s="104" t="s">
        <v>415</v>
      </c>
      <c r="D729" s="188">
        <v>5.8999999999999997E-2</v>
      </c>
      <c r="E729" s="188">
        <v>5.6000000000000001E-2</v>
      </c>
      <c r="F729" s="188">
        <v>6.0999999999999999E-2</v>
      </c>
      <c r="G729" s="188">
        <v>6.5000000000000002E-2</v>
      </c>
      <c r="H729" s="188">
        <v>6.7000000000000004E-2</v>
      </c>
      <c r="I729" s="188" t="s">
        <v>935</v>
      </c>
    </row>
    <row r="730" spans="2:9" ht="15.5">
      <c r="B730" s="894"/>
      <c r="C730" s="306" t="s">
        <v>625</v>
      </c>
      <c r="D730" s="200">
        <v>6.0999999999999999E-2</v>
      </c>
      <c r="E730" s="200">
        <v>6.3E-2</v>
      </c>
      <c r="F730" s="200">
        <v>7.3999999999999996E-2</v>
      </c>
      <c r="G730" s="200">
        <v>8.5000000000000006E-2</v>
      </c>
      <c r="H730" s="200">
        <v>8.3000000000000004E-2</v>
      </c>
      <c r="I730" s="200" t="s">
        <v>1640</v>
      </c>
    </row>
    <row r="731" spans="2:9" ht="15.5">
      <c r="B731" s="894"/>
      <c r="C731" s="306" t="s">
        <v>626</v>
      </c>
      <c r="D731" s="200">
        <v>5.7000000000000002E-2</v>
      </c>
      <c r="E731" s="200">
        <v>0.05</v>
      </c>
      <c r="F731" s="200">
        <v>4.5999999999999999E-2</v>
      </c>
      <c r="G731" s="200">
        <v>4.2999999999999997E-2</v>
      </c>
      <c r="H731" s="200">
        <v>5.0999999999999997E-2</v>
      </c>
      <c r="I731" s="200" t="s">
        <v>1641</v>
      </c>
    </row>
    <row r="732" spans="2:9" ht="15.5">
      <c r="B732" s="894" t="s">
        <v>495</v>
      </c>
      <c r="C732" s="104" t="s">
        <v>415</v>
      </c>
      <c r="D732" s="188">
        <v>6.2E-2</v>
      </c>
      <c r="E732" s="188">
        <v>6.0999999999999999E-2</v>
      </c>
      <c r="F732" s="188">
        <v>6.9000000000000006E-2</v>
      </c>
      <c r="G732" s="188">
        <v>7.9000000000000001E-2</v>
      </c>
      <c r="H732" s="188">
        <v>8.6999999999999994E-2</v>
      </c>
      <c r="I732" s="188" t="s">
        <v>939</v>
      </c>
    </row>
    <row r="733" spans="2:9" ht="15.5">
      <c r="B733" s="894"/>
      <c r="C733" s="306" t="s">
        <v>625</v>
      </c>
      <c r="D733" s="200">
        <v>6.4000000000000001E-2</v>
      </c>
      <c r="E733" s="200">
        <v>7.0999999999999994E-2</v>
      </c>
      <c r="F733" s="200">
        <v>8.5000000000000006E-2</v>
      </c>
      <c r="G733" s="200">
        <v>0.105</v>
      </c>
      <c r="H733" s="200">
        <v>0.111</v>
      </c>
      <c r="I733" s="200" t="s">
        <v>707</v>
      </c>
    </row>
    <row r="734" spans="2:9" ht="15.5">
      <c r="B734" s="894"/>
      <c r="C734" s="306" t="s">
        <v>626</v>
      </c>
      <c r="D734" s="200">
        <v>5.8999999999999997E-2</v>
      </c>
      <c r="E734" s="200">
        <v>5.1999999999999998E-2</v>
      </c>
      <c r="F734" s="200">
        <v>5.3999999999999999E-2</v>
      </c>
      <c r="G734" s="200">
        <v>5.2999999999999999E-2</v>
      </c>
      <c r="H734" s="200">
        <v>6.3E-2</v>
      </c>
      <c r="I734" s="200" t="s">
        <v>938</v>
      </c>
    </row>
    <row r="735" spans="2:9" ht="15.5">
      <c r="B735" s="894" t="s">
        <v>496</v>
      </c>
      <c r="C735" s="104" t="s">
        <v>415</v>
      </c>
      <c r="D735" s="188">
        <v>9.6000000000000002E-2</v>
      </c>
      <c r="E735" s="188">
        <v>8.5999999999999993E-2</v>
      </c>
      <c r="F735" s="188">
        <v>0.11700000000000001</v>
      </c>
      <c r="G735" s="188">
        <v>0.17399999999999999</v>
      </c>
      <c r="H735" s="188">
        <v>0.21199999999999999</v>
      </c>
      <c r="I735" s="188" t="s">
        <v>937</v>
      </c>
    </row>
    <row r="736" spans="2:9" ht="15.5">
      <c r="B736" s="894"/>
      <c r="C736" s="306" t="s">
        <v>625</v>
      </c>
      <c r="D736" s="200">
        <v>0.106</v>
      </c>
      <c r="E736" s="200">
        <v>8.7999999999999995E-2</v>
      </c>
      <c r="F736" s="200">
        <v>0.13300000000000001</v>
      </c>
      <c r="G736" s="200">
        <v>0.2</v>
      </c>
      <c r="H736" s="200">
        <v>0.24299999999999999</v>
      </c>
      <c r="I736" s="200" t="s">
        <v>1642</v>
      </c>
    </row>
    <row r="737" spans="2:9" ht="15.5">
      <c r="B737" s="894"/>
      <c r="C737" s="306" t="s">
        <v>626</v>
      </c>
      <c r="D737" s="200">
        <v>8.6999999999999994E-2</v>
      </c>
      <c r="E737" s="200">
        <v>8.4000000000000005E-2</v>
      </c>
      <c r="F737" s="200">
        <v>0.10199999999999999</v>
      </c>
      <c r="G737" s="200">
        <v>0.14799999999999999</v>
      </c>
      <c r="H737" s="200">
        <v>0.183</v>
      </c>
      <c r="I737" s="200" t="s">
        <v>1643</v>
      </c>
    </row>
    <row r="738" spans="2:9" ht="15.5">
      <c r="B738" s="894" t="s">
        <v>503</v>
      </c>
      <c r="C738" s="104" t="s">
        <v>415</v>
      </c>
      <c r="D738" s="188">
        <v>4.1000000000000002E-2</v>
      </c>
      <c r="E738" s="188">
        <v>6.9000000000000006E-2</v>
      </c>
      <c r="F738" s="188">
        <v>0.09</v>
      </c>
      <c r="G738" s="188">
        <v>8.4000000000000005E-2</v>
      </c>
      <c r="H738" s="188">
        <v>0.09</v>
      </c>
      <c r="I738" s="188" t="s">
        <v>1639</v>
      </c>
    </row>
    <row r="739" spans="2:9" ht="15.5">
      <c r="B739" s="894"/>
      <c r="C739" s="306" t="s">
        <v>625</v>
      </c>
      <c r="D739" s="169">
        <v>3.9E-2</v>
      </c>
      <c r="E739" s="200">
        <v>6.4000000000000001E-2</v>
      </c>
      <c r="F739" s="200">
        <v>9.6000000000000002E-2</v>
      </c>
      <c r="G739" s="200">
        <v>8.7999999999999995E-2</v>
      </c>
      <c r="H739" s="200">
        <v>0.10100000000000001</v>
      </c>
      <c r="I739" s="200" t="s">
        <v>1644</v>
      </c>
    </row>
    <row r="740" spans="2:9" ht="15.5">
      <c r="B740" s="894"/>
      <c r="C740" s="306" t="s">
        <v>626</v>
      </c>
      <c r="D740" s="169">
        <v>4.2999999999999997E-2</v>
      </c>
      <c r="E740" s="200">
        <v>7.1999999999999995E-2</v>
      </c>
      <c r="F740" s="200">
        <v>8.5999999999999993E-2</v>
      </c>
      <c r="G740" s="200">
        <v>0.08</v>
      </c>
      <c r="H740" s="200">
        <v>0.08</v>
      </c>
      <c r="I740" s="200" t="s">
        <v>1645</v>
      </c>
    </row>
    <row r="741" spans="2:9" ht="15.5">
      <c r="B741" s="894" t="s">
        <v>504</v>
      </c>
      <c r="C741" s="104" t="s">
        <v>415</v>
      </c>
      <c r="D741" s="188">
        <v>8.5999999999999993E-2</v>
      </c>
      <c r="E741" s="188">
        <v>7.4999999999999997E-2</v>
      </c>
      <c r="F741" s="188">
        <v>9.1999999999999998E-2</v>
      </c>
      <c r="G741" s="188">
        <v>0.14099999999999999</v>
      </c>
      <c r="H741" s="188">
        <v>0.16900000000000001</v>
      </c>
      <c r="I741" s="188" t="s">
        <v>1646</v>
      </c>
    </row>
    <row r="742" spans="2:9" ht="15.5">
      <c r="B742" s="894"/>
      <c r="C742" s="306" t="s">
        <v>625</v>
      </c>
      <c r="D742" s="169">
        <v>8.4000000000000005E-2</v>
      </c>
      <c r="E742" s="169">
        <v>6.6000000000000003E-2</v>
      </c>
      <c r="F742" s="169">
        <v>8.8999999999999996E-2</v>
      </c>
      <c r="G742" s="169">
        <v>0.13400000000000001</v>
      </c>
      <c r="H742" s="169">
        <v>0.17</v>
      </c>
      <c r="I742" s="169" t="s">
        <v>1647</v>
      </c>
    </row>
    <row r="743" spans="2:9" ht="15.5">
      <c r="B743" s="894"/>
      <c r="C743" s="306" t="s">
        <v>626</v>
      </c>
      <c r="D743" s="169">
        <v>8.7999999999999995E-2</v>
      </c>
      <c r="E743" s="169">
        <v>8.2000000000000003E-2</v>
      </c>
      <c r="F743" s="169">
        <v>9.4E-2</v>
      </c>
      <c r="G743" s="169">
        <v>0.14599999999999999</v>
      </c>
      <c r="H743" s="169">
        <v>0.16800000000000001</v>
      </c>
      <c r="I743" s="169" t="s">
        <v>1648</v>
      </c>
    </row>
    <row r="744" spans="2:9" ht="15.5">
      <c r="B744" s="894" t="s">
        <v>506</v>
      </c>
      <c r="C744" s="104" t="s">
        <v>415</v>
      </c>
      <c r="D744" s="188">
        <v>3.7999999999999999E-2</v>
      </c>
      <c r="E744" s="188">
        <v>2.7E-2</v>
      </c>
      <c r="F744" s="188">
        <v>6.6000000000000003E-2</v>
      </c>
      <c r="G744" s="188">
        <v>9.6000000000000002E-2</v>
      </c>
      <c r="H744" s="188">
        <v>8.4000000000000005E-2</v>
      </c>
      <c r="I744" s="188" t="s">
        <v>1649</v>
      </c>
    </row>
    <row r="745" spans="2:9" ht="15.5">
      <c r="B745" s="894"/>
      <c r="C745" s="306" t="s">
        <v>625</v>
      </c>
      <c r="D745" s="169">
        <v>3.3000000000000002E-2</v>
      </c>
      <c r="E745" s="169">
        <v>2.5000000000000001E-2</v>
      </c>
      <c r="F745" s="169">
        <v>6.6000000000000003E-2</v>
      </c>
      <c r="G745" s="169">
        <v>8.7999999999999995E-2</v>
      </c>
      <c r="H745" s="169">
        <v>9.6000000000000002E-2</v>
      </c>
      <c r="I745" s="169" t="s">
        <v>605</v>
      </c>
    </row>
    <row r="746" spans="2:9" ht="15.5">
      <c r="B746" s="894"/>
      <c r="C746" s="306" t="s">
        <v>626</v>
      </c>
      <c r="D746" s="169">
        <v>4.2999999999999997E-2</v>
      </c>
      <c r="E746" s="169">
        <v>2.8000000000000001E-2</v>
      </c>
      <c r="F746" s="169">
        <v>6.7000000000000004E-2</v>
      </c>
      <c r="G746" s="169">
        <v>0.10299999999999999</v>
      </c>
      <c r="H746" s="169">
        <v>7.2999999999999995E-2</v>
      </c>
      <c r="I746" s="169" t="s">
        <v>1645</v>
      </c>
    </row>
    <row r="747" spans="2:9" ht="15.5">
      <c r="B747" s="894" t="s">
        <v>507</v>
      </c>
      <c r="C747" s="104" t="s">
        <v>415</v>
      </c>
      <c r="D747" s="188">
        <v>1.0999999999999999E-2</v>
      </c>
      <c r="E747" s="188">
        <v>5.0000000000000001E-3</v>
      </c>
      <c r="F747" s="188">
        <v>3.4000000000000002E-2</v>
      </c>
      <c r="G747" s="188">
        <v>5.8000000000000003E-2</v>
      </c>
      <c r="H747" s="188">
        <v>2.7E-2</v>
      </c>
      <c r="I747" s="188" t="s">
        <v>590</v>
      </c>
    </row>
    <row r="748" spans="2:9" ht="15.5">
      <c r="B748" s="894"/>
      <c r="C748" s="306" t="s">
        <v>625</v>
      </c>
      <c r="D748" s="169">
        <v>5.0000000000000001E-3</v>
      </c>
      <c r="E748" s="169">
        <v>1.0999999999999999E-2</v>
      </c>
      <c r="F748" s="169">
        <v>2.4E-2</v>
      </c>
      <c r="G748" s="169">
        <v>5.2999999999999999E-2</v>
      </c>
      <c r="H748" s="169">
        <v>2.3E-2</v>
      </c>
      <c r="I748" s="169" t="s">
        <v>847</v>
      </c>
    </row>
    <row r="749" spans="2:9" ht="15.5">
      <c r="B749" s="894"/>
      <c r="C749" s="306" t="s">
        <v>626</v>
      </c>
      <c r="D749" s="169">
        <v>1.7999999999999999E-2</v>
      </c>
      <c r="E749" s="169">
        <v>1E-3</v>
      </c>
      <c r="F749" s="169">
        <v>4.1000000000000002E-2</v>
      </c>
      <c r="G749" s="169">
        <v>6.2E-2</v>
      </c>
      <c r="H749" s="169">
        <v>3.1E-2</v>
      </c>
      <c r="I749" s="169" t="s">
        <v>711</v>
      </c>
    </row>
    <row r="750" spans="2:9">
      <c r="B750" s="81" t="s">
        <v>265</v>
      </c>
    </row>
    <row r="751" spans="2:9">
      <c r="B751" s="24" t="s">
        <v>314</v>
      </c>
    </row>
    <row r="752" spans="2:9" ht="16.5" customHeight="1">
      <c r="B752" s="88" t="s">
        <v>1650</v>
      </c>
    </row>
    <row r="753" spans="2:8">
      <c r="B753" s="896" t="s">
        <v>1580</v>
      </c>
      <c r="C753" s="860" t="s">
        <v>687</v>
      </c>
      <c r="D753" s="860"/>
      <c r="E753" s="860"/>
      <c r="F753" s="861" t="s">
        <v>257</v>
      </c>
      <c r="G753" s="862"/>
      <c r="H753" s="863"/>
    </row>
    <row r="754" spans="2:8">
      <c r="B754" s="896"/>
      <c r="C754" s="42" t="s">
        <v>625</v>
      </c>
      <c r="D754" s="42" t="s">
        <v>626</v>
      </c>
      <c r="E754" s="42" t="s">
        <v>415</v>
      </c>
      <c r="F754" s="42" t="s">
        <v>625</v>
      </c>
      <c r="G754" s="42" t="s">
        <v>626</v>
      </c>
      <c r="H754" s="42" t="s">
        <v>415</v>
      </c>
    </row>
    <row r="755" spans="2:8">
      <c r="B755" s="277" t="s">
        <v>1581</v>
      </c>
      <c r="C755" s="46">
        <v>20</v>
      </c>
      <c r="D755" s="46">
        <v>103</v>
      </c>
      <c r="E755" s="46">
        <v>123</v>
      </c>
      <c r="F755" s="46">
        <v>29</v>
      </c>
      <c r="G755" s="46">
        <v>175</v>
      </c>
      <c r="H755" s="46">
        <v>204</v>
      </c>
    </row>
    <row r="756" spans="2:8">
      <c r="B756" s="277" t="s">
        <v>1582</v>
      </c>
      <c r="C756" s="46">
        <v>19</v>
      </c>
      <c r="D756" s="46">
        <v>175</v>
      </c>
      <c r="E756" s="46">
        <v>194</v>
      </c>
      <c r="F756" s="46">
        <v>38</v>
      </c>
      <c r="G756" s="46">
        <v>241</v>
      </c>
      <c r="H756" s="46">
        <v>279</v>
      </c>
    </row>
    <row r="757" spans="2:8">
      <c r="B757" s="277" t="s">
        <v>1583</v>
      </c>
      <c r="C757" s="46">
        <v>32</v>
      </c>
      <c r="D757" s="46">
        <v>251</v>
      </c>
      <c r="E757" s="46">
        <v>283</v>
      </c>
      <c r="F757" s="46">
        <v>60</v>
      </c>
      <c r="G757" s="46">
        <v>328</v>
      </c>
      <c r="H757" s="46">
        <v>388</v>
      </c>
    </row>
    <row r="758" spans="2:8">
      <c r="B758" s="277" t="s">
        <v>1584</v>
      </c>
      <c r="C758" s="46">
        <v>34</v>
      </c>
      <c r="D758" s="46">
        <v>216</v>
      </c>
      <c r="E758" s="46">
        <v>250</v>
      </c>
      <c r="F758" s="46">
        <v>41</v>
      </c>
      <c r="G758" s="46">
        <v>276</v>
      </c>
      <c r="H758" s="46">
        <v>317</v>
      </c>
    </row>
    <row r="759" spans="2:8">
      <c r="B759" s="277" t="s">
        <v>1585</v>
      </c>
      <c r="C759" s="46">
        <v>39</v>
      </c>
      <c r="D759" s="46">
        <v>117</v>
      </c>
      <c r="E759" s="46">
        <v>156</v>
      </c>
      <c r="F759" s="46">
        <v>30</v>
      </c>
      <c r="G759" s="46">
        <v>162</v>
      </c>
      <c r="H759" s="46">
        <v>192</v>
      </c>
    </row>
    <row r="760" spans="2:8">
      <c r="B760" s="277" t="s">
        <v>1586</v>
      </c>
      <c r="C760" s="46">
        <v>62</v>
      </c>
      <c r="D760" s="46">
        <v>150</v>
      </c>
      <c r="E760" s="46">
        <v>212</v>
      </c>
      <c r="F760" s="46">
        <v>66</v>
      </c>
      <c r="G760" s="46">
        <v>208</v>
      </c>
      <c r="H760" s="46">
        <v>274</v>
      </c>
    </row>
    <row r="761" spans="2:8">
      <c r="B761" s="277" t="s">
        <v>1587</v>
      </c>
      <c r="C761" s="46">
        <v>9</v>
      </c>
      <c r="D761" s="46">
        <v>55</v>
      </c>
      <c r="E761" s="46">
        <v>64</v>
      </c>
      <c r="F761" s="46">
        <v>16</v>
      </c>
      <c r="G761" s="46">
        <v>112</v>
      </c>
      <c r="H761" s="46">
        <v>128</v>
      </c>
    </row>
    <row r="762" spans="2:8">
      <c r="B762" s="277" t="s">
        <v>1588</v>
      </c>
      <c r="C762" s="46">
        <v>21</v>
      </c>
      <c r="D762" s="46">
        <v>114</v>
      </c>
      <c r="E762" s="46">
        <v>135</v>
      </c>
      <c r="F762" s="46">
        <v>44</v>
      </c>
      <c r="G762" s="46">
        <v>184</v>
      </c>
      <c r="H762" s="46">
        <v>228</v>
      </c>
    </row>
    <row r="763" spans="2:8">
      <c r="B763" s="308" t="s">
        <v>1589</v>
      </c>
      <c r="C763" s="309">
        <v>236</v>
      </c>
      <c r="D763" s="310">
        <v>1181</v>
      </c>
      <c r="E763" s="310">
        <v>1417</v>
      </c>
      <c r="F763" s="309">
        <v>324</v>
      </c>
      <c r="G763" s="310">
        <v>1686</v>
      </c>
      <c r="H763" s="310">
        <v>2010</v>
      </c>
    </row>
    <row r="764" spans="2:8">
      <c r="B764" s="277" t="s">
        <v>1590</v>
      </c>
      <c r="C764" s="46">
        <v>66</v>
      </c>
      <c r="D764" s="46">
        <v>269</v>
      </c>
      <c r="E764" s="46">
        <v>335</v>
      </c>
      <c r="F764" s="46">
        <v>97</v>
      </c>
      <c r="G764" s="46">
        <v>438</v>
      </c>
      <c r="H764" s="46">
        <v>535</v>
      </c>
    </row>
    <row r="765" spans="2:8">
      <c r="B765" s="277" t="s">
        <v>1591</v>
      </c>
      <c r="C765" s="46">
        <v>17</v>
      </c>
      <c r="D765" s="46">
        <v>113</v>
      </c>
      <c r="E765" s="46">
        <v>130</v>
      </c>
      <c r="F765" s="46">
        <v>24</v>
      </c>
      <c r="G765" s="46">
        <v>162</v>
      </c>
      <c r="H765" s="46">
        <v>186</v>
      </c>
    </row>
    <row r="766" spans="2:8">
      <c r="B766" s="277" t="s">
        <v>1592</v>
      </c>
      <c r="C766" s="46">
        <v>35</v>
      </c>
      <c r="D766" s="46">
        <v>100</v>
      </c>
      <c r="E766" s="46">
        <v>135</v>
      </c>
      <c r="F766" s="46">
        <v>52</v>
      </c>
      <c r="G766" s="46">
        <v>147</v>
      </c>
      <c r="H766" s="46">
        <v>199</v>
      </c>
    </row>
    <row r="767" spans="2:8">
      <c r="B767" s="277" t="s">
        <v>1593</v>
      </c>
      <c r="C767" s="46">
        <v>35</v>
      </c>
      <c r="D767" s="46">
        <v>121</v>
      </c>
      <c r="E767" s="46">
        <v>156</v>
      </c>
      <c r="F767" s="46">
        <v>41</v>
      </c>
      <c r="G767" s="46">
        <v>191</v>
      </c>
      <c r="H767" s="46">
        <v>232</v>
      </c>
    </row>
    <row r="768" spans="2:8">
      <c r="B768" s="277" t="s">
        <v>1594</v>
      </c>
      <c r="C768" s="46">
        <v>53</v>
      </c>
      <c r="D768" s="46">
        <v>196</v>
      </c>
      <c r="E768" s="46">
        <v>249</v>
      </c>
      <c r="F768" s="46">
        <v>84</v>
      </c>
      <c r="G768" s="46">
        <v>257</v>
      </c>
      <c r="H768" s="46">
        <v>341</v>
      </c>
    </row>
    <row r="769" spans="2:8">
      <c r="B769" s="277" t="s">
        <v>1595</v>
      </c>
      <c r="C769" s="46">
        <v>30</v>
      </c>
      <c r="D769" s="46">
        <v>155</v>
      </c>
      <c r="E769" s="46">
        <v>185</v>
      </c>
      <c r="F769" s="46">
        <v>55</v>
      </c>
      <c r="G769" s="46">
        <v>251</v>
      </c>
      <c r="H769" s="46">
        <v>306</v>
      </c>
    </row>
    <row r="770" spans="2:8">
      <c r="B770" s="277" t="s">
        <v>1596</v>
      </c>
      <c r="C770" s="46">
        <v>23</v>
      </c>
      <c r="D770" s="46">
        <v>57</v>
      </c>
      <c r="E770" s="46">
        <v>80</v>
      </c>
      <c r="F770" s="46">
        <v>53</v>
      </c>
      <c r="G770" s="46">
        <v>128</v>
      </c>
      <c r="H770" s="46">
        <v>181</v>
      </c>
    </row>
    <row r="771" spans="2:8">
      <c r="B771" s="308" t="s">
        <v>1597</v>
      </c>
      <c r="C771" s="309">
        <v>259</v>
      </c>
      <c r="D771" s="310">
        <v>1011</v>
      </c>
      <c r="E771" s="310">
        <v>1270</v>
      </c>
      <c r="F771" s="309">
        <v>406</v>
      </c>
      <c r="G771" s="310">
        <v>1574</v>
      </c>
      <c r="H771" s="310">
        <v>1980</v>
      </c>
    </row>
    <row r="772" spans="2:8">
      <c r="B772" s="277" t="s">
        <v>1598</v>
      </c>
      <c r="C772" s="46">
        <v>55</v>
      </c>
      <c r="D772" s="46">
        <v>179</v>
      </c>
      <c r="E772" s="46">
        <v>234</v>
      </c>
      <c r="F772" s="46">
        <v>63</v>
      </c>
      <c r="G772" s="46">
        <v>335</v>
      </c>
      <c r="H772" s="46">
        <v>398</v>
      </c>
    </row>
    <row r="773" spans="2:8">
      <c r="B773" s="277" t="s">
        <v>1599</v>
      </c>
      <c r="C773" s="46">
        <v>77</v>
      </c>
      <c r="D773" s="46">
        <v>190</v>
      </c>
      <c r="E773" s="46">
        <v>267</v>
      </c>
      <c r="F773" s="46">
        <v>95</v>
      </c>
      <c r="G773" s="46">
        <v>332</v>
      </c>
      <c r="H773" s="46">
        <v>427</v>
      </c>
    </row>
    <row r="774" spans="2:8">
      <c r="B774" s="277" t="s">
        <v>1600</v>
      </c>
      <c r="C774" s="46">
        <v>18</v>
      </c>
      <c r="D774" s="46">
        <v>54</v>
      </c>
      <c r="E774" s="46">
        <v>72</v>
      </c>
      <c r="F774" s="46">
        <v>32</v>
      </c>
      <c r="G774" s="46">
        <v>126</v>
      </c>
      <c r="H774" s="46">
        <v>158</v>
      </c>
    </row>
    <row r="775" spans="2:8">
      <c r="B775" s="277" t="s">
        <v>1601</v>
      </c>
      <c r="C775" s="46">
        <v>36</v>
      </c>
      <c r="D775" s="46">
        <v>111</v>
      </c>
      <c r="E775" s="46">
        <v>147</v>
      </c>
      <c r="F775" s="46">
        <v>44</v>
      </c>
      <c r="G775" s="46">
        <v>171</v>
      </c>
      <c r="H775" s="46">
        <v>215</v>
      </c>
    </row>
    <row r="776" spans="2:8">
      <c r="B776" s="277" t="s">
        <v>1602</v>
      </c>
      <c r="C776" s="46">
        <v>37</v>
      </c>
      <c r="D776" s="46">
        <v>91</v>
      </c>
      <c r="E776" s="46">
        <v>128</v>
      </c>
      <c r="F776" s="46">
        <v>48</v>
      </c>
      <c r="G776" s="46">
        <v>145</v>
      </c>
      <c r="H776" s="46">
        <v>193</v>
      </c>
    </row>
    <row r="777" spans="2:8">
      <c r="B777" s="277" t="s">
        <v>1603</v>
      </c>
      <c r="C777" s="46">
        <v>55</v>
      </c>
      <c r="D777" s="46">
        <v>209</v>
      </c>
      <c r="E777" s="46">
        <v>264</v>
      </c>
      <c r="F777" s="46">
        <v>109</v>
      </c>
      <c r="G777" s="46">
        <v>334</v>
      </c>
      <c r="H777" s="46">
        <v>443</v>
      </c>
    </row>
    <row r="778" spans="2:8">
      <c r="B778" s="277" t="s">
        <v>1604</v>
      </c>
      <c r="C778" s="46">
        <v>59</v>
      </c>
      <c r="D778" s="46">
        <v>149</v>
      </c>
      <c r="E778" s="46">
        <v>208</v>
      </c>
      <c r="F778" s="46">
        <v>59</v>
      </c>
      <c r="G778" s="46">
        <v>195</v>
      </c>
      <c r="H778" s="46">
        <v>254</v>
      </c>
    </row>
    <row r="779" spans="2:8">
      <c r="B779" s="308" t="s">
        <v>1605</v>
      </c>
      <c r="C779" s="309">
        <v>337</v>
      </c>
      <c r="D779" s="309">
        <v>983</v>
      </c>
      <c r="E779" s="310">
        <v>1320</v>
      </c>
      <c r="F779" s="309">
        <v>450</v>
      </c>
      <c r="G779" s="309">
        <v>1638</v>
      </c>
      <c r="H779" s="310">
        <v>2088</v>
      </c>
    </row>
    <row r="780" spans="2:8">
      <c r="B780" s="277" t="s">
        <v>1606</v>
      </c>
      <c r="C780" s="46">
        <v>32</v>
      </c>
      <c r="D780" s="46">
        <v>74</v>
      </c>
      <c r="E780" s="46">
        <v>106</v>
      </c>
      <c r="F780" s="46">
        <v>44</v>
      </c>
      <c r="G780" s="46">
        <v>163</v>
      </c>
      <c r="H780" s="46">
        <v>207</v>
      </c>
    </row>
    <row r="781" spans="2:8">
      <c r="B781" s="277" t="s">
        <v>1607</v>
      </c>
      <c r="C781" s="46">
        <v>25</v>
      </c>
      <c r="D781" s="46">
        <v>102</v>
      </c>
      <c r="E781" s="46">
        <v>127</v>
      </c>
      <c r="F781" s="46">
        <v>42</v>
      </c>
      <c r="G781" s="46">
        <v>182</v>
      </c>
      <c r="H781" s="46">
        <v>224</v>
      </c>
    </row>
    <row r="782" spans="2:8">
      <c r="B782" s="277" t="s">
        <v>1608</v>
      </c>
      <c r="C782" s="46">
        <v>50</v>
      </c>
      <c r="D782" s="46">
        <v>132</v>
      </c>
      <c r="E782" s="46">
        <v>182</v>
      </c>
      <c r="F782" s="46">
        <v>69</v>
      </c>
      <c r="G782" s="46">
        <v>204</v>
      </c>
      <c r="H782" s="46">
        <v>273</v>
      </c>
    </row>
    <row r="783" spans="2:8">
      <c r="B783" s="277" t="s">
        <v>1609</v>
      </c>
      <c r="C783" s="46">
        <v>49</v>
      </c>
      <c r="D783" s="46">
        <v>252</v>
      </c>
      <c r="E783" s="46">
        <v>301</v>
      </c>
      <c r="F783" s="46">
        <v>91</v>
      </c>
      <c r="G783" s="46">
        <v>427</v>
      </c>
      <c r="H783" s="46">
        <v>518</v>
      </c>
    </row>
    <row r="784" spans="2:8">
      <c r="B784" s="277" t="s">
        <v>1610</v>
      </c>
      <c r="C784" s="46">
        <v>22</v>
      </c>
      <c r="D784" s="46">
        <v>132</v>
      </c>
      <c r="E784" s="46">
        <v>154</v>
      </c>
      <c r="F784" s="46">
        <v>39</v>
      </c>
      <c r="G784" s="46">
        <v>185</v>
      </c>
      <c r="H784" s="46">
        <v>224</v>
      </c>
    </row>
    <row r="785" spans="2:8">
      <c r="B785" s="308" t="s">
        <v>1611</v>
      </c>
      <c r="C785" s="309">
        <v>178</v>
      </c>
      <c r="D785" s="309">
        <v>692</v>
      </c>
      <c r="E785" s="309">
        <v>870</v>
      </c>
      <c r="F785" s="309">
        <v>285</v>
      </c>
      <c r="G785" s="309">
        <v>1161</v>
      </c>
      <c r="H785" s="309">
        <v>1446</v>
      </c>
    </row>
    <row r="786" spans="2:8">
      <c r="B786" s="277" t="s">
        <v>1612</v>
      </c>
      <c r="C786" s="46">
        <v>88</v>
      </c>
      <c r="D786" s="46">
        <v>586</v>
      </c>
      <c r="E786" s="46">
        <v>674</v>
      </c>
      <c r="F786" s="46">
        <v>107</v>
      </c>
      <c r="G786" s="46">
        <v>757</v>
      </c>
      <c r="H786" s="46">
        <v>864</v>
      </c>
    </row>
    <row r="787" spans="2:8">
      <c r="B787" s="277" t="s">
        <v>1613</v>
      </c>
      <c r="C787" s="46">
        <v>68</v>
      </c>
      <c r="D787" s="46">
        <v>387</v>
      </c>
      <c r="E787" s="46">
        <v>455</v>
      </c>
      <c r="F787" s="46">
        <v>63</v>
      </c>
      <c r="G787" s="46">
        <v>435</v>
      </c>
      <c r="H787" s="46">
        <v>498</v>
      </c>
    </row>
    <row r="788" spans="2:8">
      <c r="B788" s="277" t="s">
        <v>1614</v>
      </c>
      <c r="C788" s="46">
        <v>42</v>
      </c>
      <c r="D788" s="46">
        <v>299</v>
      </c>
      <c r="E788" s="46">
        <v>341</v>
      </c>
      <c r="F788" s="46">
        <v>50</v>
      </c>
      <c r="G788" s="46">
        <v>344</v>
      </c>
      <c r="H788" s="46">
        <v>394</v>
      </c>
    </row>
    <row r="789" spans="2:8">
      <c r="B789" s="308" t="s">
        <v>1615</v>
      </c>
      <c r="C789" s="309">
        <v>198</v>
      </c>
      <c r="D789" s="310">
        <v>1272</v>
      </c>
      <c r="E789" s="310">
        <v>1470</v>
      </c>
      <c r="F789" s="309">
        <v>220</v>
      </c>
      <c r="G789" s="310">
        <v>1536</v>
      </c>
      <c r="H789" s="310">
        <v>1756</v>
      </c>
    </row>
    <row r="790" spans="2:8">
      <c r="B790" s="276" t="s">
        <v>1534</v>
      </c>
      <c r="C790" s="311">
        <v>1208</v>
      </c>
      <c r="D790" s="311">
        <v>5139</v>
      </c>
      <c r="E790" s="311">
        <v>6347</v>
      </c>
      <c r="F790" s="311">
        <v>1685</v>
      </c>
      <c r="G790" s="311">
        <v>7595</v>
      </c>
      <c r="H790" s="311">
        <v>9280</v>
      </c>
    </row>
    <row r="791" spans="2:8">
      <c r="B791" s="81" t="s">
        <v>265</v>
      </c>
    </row>
    <row r="792" spans="2:8">
      <c r="B792" s="307"/>
    </row>
    <row r="793" spans="2:8" ht="17.149999999999999" customHeight="1">
      <c r="B793" s="88" t="s">
        <v>1651</v>
      </c>
    </row>
    <row r="794" spans="2:8" ht="15" customHeight="1">
      <c r="B794" s="896" t="s">
        <v>1580</v>
      </c>
      <c r="C794" s="860" t="s">
        <v>687</v>
      </c>
      <c r="D794" s="860"/>
      <c r="E794" s="860"/>
      <c r="F794" s="860" t="s">
        <v>257</v>
      </c>
      <c r="G794" s="860"/>
      <c r="H794" s="860"/>
    </row>
    <row r="795" spans="2:8">
      <c r="B795" s="896"/>
      <c r="C795" s="42" t="s">
        <v>625</v>
      </c>
      <c r="D795" s="42" t="s">
        <v>626</v>
      </c>
      <c r="E795" s="42" t="s">
        <v>415</v>
      </c>
      <c r="F795" s="42" t="s">
        <v>625</v>
      </c>
      <c r="G795" s="42" t="s">
        <v>626</v>
      </c>
      <c r="H795" s="42" t="s">
        <v>415</v>
      </c>
    </row>
    <row r="796" spans="2:8">
      <c r="B796" s="277" t="s">
        <v>1581</v>
      </c>
      <c r="C796" s="46">
        <v>820</v>
      </c>
      <c r="D796" s="45">
        <v>1276</v>
      </c>
      <c r="E796" s="45">
        <v>2096</v>
      </c>
      <c r="F796" s="46">
        <v>864</v>
      </c>
      <c r="G796" s="45">
        <v>1502</v>
      </c>
      <c r="H796" s="45">
        <v>2366</v>
      </c>
    </row>
    <row r="797" spans="2:8">
      <c r="B797" s="277" t="s">
        <v>1582</v>
      </c>
      <c r="C797" s="46">
        <v>614</v>
      </c>
      <c r="D797" s="45">
        <v>1094</v>
      </c>
      <c r="E797" s="45">
        <v>1708</v>
      </c>
      <c r="F797" s="46">
        <v>676</v>
      </c>
      <c r="G797" s="45">
        <v>1296</v>
      </c>
      <c r="H797" s="45">
        <v>1972</v>
      </c>
    </row>
    <row r="798" spans="2:8">
      <c r="B798" s="277" t="s">
        <v>1583</v>
      </c>
      <c r="C798" s="46">
        <v>598</v>
      </c>
      <c r="D798" s="45">
        <v>1516</v>
      </c>
      <c r="E798" s="45">
        <v>2114</v>
      </c>
      <c r="F798" s="46">
        <v>743</v>
      </c>
      <c r="G798" s="45">
        <v>1354</v>
      </c>
      <c r="H798" s="45">
        <v>2097</v>
      </c>
    </row>
    <row r="799" spans="2:8">
      <c r="B799" s="277" t="s">
        <v>1584</v>
      </c>
      <c r="C799" s="46">
        <v>518</v>
      </c>
      <c r="D799" s="45">
        <v>1251</v>
      </c>
      <c r="E799" s="45">
        <v>1769</v>
      </c>
      <c r="F799" s="46">
        <v>547</v>
      </c>
      <c r="G799" s="45">
        <v>1312</v>
      </c>
      <c r="H799" s="45">
        <v>1859</v>
      </c>
    </row>
    <row r="800" spans="2:8">
      <c r="B800" s="277" t="s">
        <v>1585</v>
      </c>
      <c r="C800" s="46">
        <v>771</v>
      </c>
      <c r="D800" s="45">
        <v>1299</v>
      </c>
      <c r="E800" s="45">
        <v>2070</v>
      </c>
      <c r="F800" s="46">
        <v>1038</v>
      </c>
      <c r="G800" s="45">
        <v>1265</v>
      </c>
      <c r="H800" s="45">
        <v>2303</v>
      </c>
    </row>
    <row r="801" spans="2:8">
      <c r="B801" s="277" t="s">
        <v>1586</v>
      </c>
      <c r="C801" s="46">
        <v>744</v>
      </c>
      <c r="D801" s="45">
        <v>1210</v>
      </c>
      <c r="E801" s="45">
        <v>1954</v>
      </c>
      <c r="F801" s="46">
        <v>783</v>
      </c>
      <c r="G801" s="45">
        <v>1313</v>
      </c>
      <c r="H801" s="45">
        <v>2096</v>
      </c>
    </row>
    <row r="802" spans="2:8">
      <c r="B802" s="277" t="s">
        <v>1587</v>
      </c>
      <c r="C802" s="46">
        <v>726</v>
      </c>
      <c r="D802" s="45">
        <v>1043</v>
      </c>
      <c r="E802" s="45">
        <v>1769</v>
      </c>
      <c r="F802" s="46">
        <v>568</v>
      </c>
      <c r="G802" s="45">
        <v>1122</v>
      </c>
      <c r="H802" s="45">
        <v>1690</v>
      </c>
    </row>
    <row r="803" spans="2:8">
      <c r="B803" s="277" t="s">
        <v>1588</v>
      </c>
      <c r="C803" s="46">
        <v>571</v>
      </c>
      <c r="D803" s="45">
        <v>1164</v>
      </c>
      <c r="E803" s="45">
        <v>1735</v>
      </c>
      <c r="F803" s="46">
        <v>614</v>
      </c>
      <c r="G803" s="45">
        <v>1211</v>
      </c>
      <c r="H803" s="45">
        <v>1825</v>
      </c>
    </row>
    <row r="804" spans="2:8">
      <c r="B804" s="308" t="s">
        <v>1589</v>
      </c>
      <c r="C804" s="310">
        <v>5362</v>
      </c>
      <c r="D804" s="310">
        <v>9853</v>
      </c>
      <c r="E804" s="310">
        <v>15215</v>
      </c>
      <c r="F804" s="310">
        <v>5833</v>
      </c>
      <c r="G804" s="310">
        <v>10375</v>
      </c>
      <c r="H804" s="310">
        <v>16208</v>
      </c>
    </row>
    <row r="805" spans="2:8">
      <c r="B805" s="277" t="s">
        <v>1590</v>
      </c>
      <c r="C805" s="46">
        <v>893</v>
      </c>
      <c r="D805" s="45">
        <v>1307</v>
      </c>
      <c r="E805" s="45">
        <v>2200</v>
      </c>
      <c r="F805" s="46">
        <v>1001</v>
      </c>
      <c r="G805" s="45">
        <v>1424</v>
      </c>
      <c r="H805" s="45">
        <v>2425</v>
      </c>
    </row>
    <row r="806" spans="2:8">
      <c r="B806" s="277" t="s">
        <v>1591</v>
      </c>
      <c r="C806" s="46">
        <v>813</v>
      </c>
      <c r="D806" s="45">
        <v>1160</v>
      </c>
      <c r="E806" s="45">
        <v>1973</v>
      </c>
      <c r="F806" s="46">
        <v>864</v>
      </c>
      <c r="G806" s="45">
        <v>1214</v>
      </c>
      <c r="H806" s="45">
        <v>2078</v>
      </c>
    </row>
    <row r="807" spans="2:8">
      <c r="B807" s="277" t="s">
        <v>1592</v>
      </c>
      <c r="C807" s="46">
        <v>946</v>
      </c>
      <c r="D807" s="46">
        <v>870</v>
      </c>
      <c r="E807" s="45">
        <v>1816</v>
      </c>
      <c r="F807" s="46">
        <v>960</v>
      </c>
      <c r="G807" s="46">
        <v>913</v>
      </c>
      <c r="H807" s="45">
        <v>1873</v>
      </c>
    </row>
    <row r="808" spans="2:8">
      <c r="B808" s="277" t="s">
        <v>1593</v>
      </c>
      <c r="C808" s="46">
        <v>836</v>
      </c>
      <c r="D808" s="45">
        <v>1497</v>
      </c>
      <c r="E808" s="45">
        <v>2333</v>
      </c>
      <c r="F808" s="46">
        <v>863</v>
      </c>
      <c r="G808" s="45">
        <v>1504</v>
      </c>
      <c r="H808" s="45">
        <v>2367</v>
      </c>
    </row>
    <row r="809" spans="2:8">
      <c r="B809" s="277" t="s">
        <v>1594</v>
      </c>
      <c r="C809" s="45">
        <v>1184</v>
      </c>
      <c r="D809" s="45">
        <v>1136</v>
      </c>
      <c r="E809" s="45">
        <v>2320</v>
      </c>
      <c r="F809" s="45">
        <v>1277</v>
      </c>
      <c r="G809" s="45">
        <v>1159</v>
      </c>
      <c r="H809" s="45">
        <v>2436</v>
      </c>
    </row>
    <row r="810" spans="2:8">
      <c r="B810" s="277" t="s">
        <v>1595</v>
      </c>
      <c r="C810" s="46">
        <v>936</v>
      </c>
      <c r="D810" s="45">
        <v>1464</v>
      </c>
      <c r="E810" s="45">
        <v>2400</v>
      </c>
      <c r="F810" s="46">
        <v>963</v>
      </c>
      <c r="G810" s="45">
        <v>1415</v>
      </c>
      <c r="H810" s="45">
        <v>2378</v>
      </c>
    </row>
    <row r="811" spans="2:8">
      <c r="B811" s="277" t="s">
        <v>1596</v>
      </c>
      <c r="C811" s="46">
        <v>924</v>
      </c>
      <c r="D811" s="45">
        <v>1035</v>
      </c>
      <c r="E811" s="45">
        <v>1959</v>
      </c>
      <c r="F811" s="46">
        <v>974</v>
      </c>
      <c r="G811" s="45">
        <v>1048</v>
      </c>
      <c r="H811" s="45">
        <v>2022</v>
      </c>
    </row>
    <row r="812" spans="2:8">
      <c r="B812" s="308" t="s">
        <v>1597</v>
      </c>
      <c r="C812" s="310">
        <v>6532</v>
      </c>
      <c r="D812" s="310">
        <v>8469</v>
      </c>
      <c r="E812" s="310">
        <v>15001</v>
      </c>
      <c r="F812" s="310">
        <v>6902</v>
      </c>
      <c r="G812" s="310">
        <v>8677</v>
      </c>
      <c r="H812" s="310">
        <v>15579</v>
      </c>
    </row>
    <row r="813" spans="2:8">
      <c r="B813" s="277" t="s">
        <v>1598</v>
      </c>
      <c r="C813" s="45">
        <v>1082</v>
      </c>
      <c r="D813" s="45">
        <v>1379</v>
      </c>
      <c r="E813" s="45">
        <v>2461</v>
      </c>
      <c r="F813" s="45">
        <v>1213</v>
      </c>
      <c r="G813" s="45">
        <v>1462</v>
      </c>
      <c r="H813" s="45">
        <v>2675</v>
      </c>
    </row>
    <row r="814" spans="2:8">
      <c r="B814" s="277" t="s">
        <v>1599</v>
      </c>
      <c r="C814" s="45">
        <v>1345</v>
      </c>
      <c r="D814" s="45">
        <v>1534</v>
      </c>
      <c r="E814" s="45">
        <v>2879</v>
      </c>
      <c r="F814" s="45">
        <v>1427</v>
      </c>
      <c r="G814" s="45">
        <v>1614</v>
      </c>
      <c r="H814" s="45">
        <v>3041</v>
      </c>
    </row>
    <row r="815" spans="2:8">
      <c r="B815" s="277" t="s">
        <v>1600</v>
      </c>
      <c r="C815" s="46">
        <v>951</v>
      </c>
      <c r="D815" s="45">
        <v>1109</v>
      </c>
      <c r="E815" s="45">
        <v>2060</v>
      </c>
      <c r="F815" s="46">
        <v>1095</v>
      </c>
      <c r="G815" s="45">
        <v>1244</v>
      </c>
      <c r="H815" s="45">
        <v>2339</v>
      </c>
    </row>
    <row r="816" spans="2:8">
      <c r="B816" s="277" t="s">
        <v>1601</v>
      </c>
      <c r="C816" s="45">
        <v>1214</v>
      </c>
      <c r="D816" s="45">
        <v>1182</v>
      </c>
      <c r="E816" s="45">
        <v>2396</v>
      </c>
      <c r="F816" s="45">
        <v>1272</v>
      </c>
      <c r="G816" s="45">
        <v>1250</v>
      </c>
      <c r="H816" s="45">
        <v>2522</v>
      </c>
    </row>
    <row r="817" spans="2:8">
      <c r="B817" s="277" t="s">
        <v>1602</v>
      </c>
      <c r="C817" s="46">
        <v>764</v>
      </c>
      <c r="D817" s="45">
        <v>1184</v>
      </c>
      <c r="E817" s="45">
        <v>1948</v>
      </c>
      <c r="F817" s="46">
        <v>832</v>
      </c>
      <c r="G817" s="45">
        <v>1204</v>
      </c>
      <c r="H817" s="45">
        <v>2036</v>
      </c>
    </row>
    <row r="818" spans="2:8">
      <c r="B818" s="277" t="s">
        <v>1603</v>
      </c>
      <c r="C818" s="45">
        <v>1742</v>
      </c>
      <c r="D818" s="45">
        <v>1342</v>
      </c>
      <c r="E818" s="45">
        <v>3084</v>
      </c>
      <c r="F818" s="45">
        <v>1926</v>
      </c>
      <c r="G818" s="45">
        <v>1454</v>
      </c>
      <c r="H818" s="45">
        <v>3380</v>
      </c>
    </row>
    <row r="819" spans="2:8">
      <c r="B819" s="277" t="s">
        <v>1604</v>
      </c>
      <c r="C819" s="46">
        <v>841</v>
      </c>
      <c r="D819" s="45">
        <v>1212</v>
      </c>
      <c r="E819" s="45">
        <v>2053</v>
      </c>
      <c r="F819" s="46">
        <v>899</v>
      </c>
      <c r="G819" s="45">
        <v>1280</v>
      </c>
      <c r="H819" s="45">
        <v>2179</v>
      </c>
    </row>
    <row r="820" spans="2:8">
      <c r="B820" s="308" t="s">
        <v>1605</v>
      </c>
      <c r="C820" s="310">
        <v>7939</v>
      </c>
      <c r="D820" s="310">
        <v>8942</v>
      </c>
      <c r="E820" s="310">
        <v>16881</v>
      </c>
      <c r="F820" s="310">
        <v>8664</v>
      </c>
      <c r="G820" s="310">
        <v>9508</v>
      </c>
      <c r="H820" s="310">
        <v>18172</v>
      </c>
    </row>
    <row r="821" spans="2:8">
      <c r="B821" s="277" t="s">
        <v>1606</v>
      </c>
      <c r="C821" s="46">
        <v>976</v>
      </c>
      <c r="D821" s="46">
        <v>927</v>
      </c>
      <c r="E821" s="45">
        <v>1903</v>
      </c>
      <c r="F821" s="46">
        <v>1026</v>
      </c>
      <c r="G821" s="46">
        <v>1018</v>
      </c>
      <c r="H821" s="45">
        <v>2044</v>
      </c>
    </row>
    <row r="822" spans="2:8">
      <c r="B822" s="277" t="s">
        <v>1607</v>
      </c>
      <c r="C822" s="46">
        <v>809</v>
      </c>
      <c r="D822" s="45">
        <v>1131</v>
      </c>
      <c r="E822" s="45">
        <v>1940</v>
      </c>
      <c r="F822" s="46">
        <v>923</v>
      </c>
      <c r="G822" s="45">
        <v>1271</v>
      </c>
      <c r="H822" s="45">
        <v>2194</v>
      </c>
    </row>
    <row r="823" spans="2:8">
      <c r="B823" s="277" t="s">
        <v>1608</v>
      </c>
      <c r="C823" s="46">
        <v>982</v>
      </c>
      <c r="D823" s="45">
        <v>1179</v>
      </c>
      <c r="E823" s="45">
        <v>2161</v>
      </c>
      <c r="F823" s="46">
        <v>1094</v>
      </c>
      <c r="G823" s="45">
        <v>1269</v>
      </c>
      <c r="H823" s="45">
        <v>2363</v>
      </c>
    </row>
    <row r="824" spans="2:8">
      <c r="B824" s="277" t="s">
        <v>1609</v>
      </c>
      <c r="C824" s="45">
        <v>1002</v>
      </c>
      <c r="D824" s="45">
        <v>1239</v>
      </c>
      <c r="E824" s="45">
        <v>2241</v>
      </c>
      <c r="F824" s="45">
        <v>1079</v>
      </c>
      <c r="G824" s="45">
        <v>1377</v>
      </c>
      <c r="H824" s="45">
        <v>2456</v>
      </c>
    </row>
    <row r="825" spans="2:8">
      <c r="B825" s="277" t="s">
        <v>1610</v>
      </c>
      <c r="C825" s="46">
        <v>610</v>
      </c>
      <c r="D825" s="45">
        <v>1049</v>
      </c>
      <c r="E825" s="45">
        <v>1659</v>
      </c>
      <c r="F825" s="46">
        <v>672</v>
      </c>
      <c r="G825" s="45">
        <v>1176</v>
      </c>
      <c r="H825" s="45">
        <v>1848</v>
      </c>
    </row>
    <row r="826" spans="2:8">
      <c r="B826" s="308" t="s">
        <v>1611</v>
      </c>
      <c r="C826" s="310">
        <v>4379</v>
      </c>
      <c r="D826" s="310">
        <v>5525</v>
      </c>
      <c r="E826" s="310">
        <v>9904</v>
      </c>
      <c r="F826" s="310">
        <v>4794</v>
      </c>
      <c r="G826" s="310">
        <v>6111</v>
      </c>
      <c r="H826" s="310">
        <v>10905</v>
      </c>
    </row>
    <row r="827" spans="2:8">
      <c r="B827" s="277" t="s">
        <v>1612</v>
      </c>
      <c r="C827" s="45">
        <v>1341</v>
      </c>
      <c r="D827" s="45">
        <v>1737</v>
      </c>
      <c r="E827" s="45">
        <v>3078</v>
      </c>
      <c r="F827" s="45">
        <v>1517</v>
      </c>
      <c r="G827" s="45">
        <v>1910</v>
      </c>
      <c r="H827" s="45">
        <v>3427</v>
      </c>
    </row>
    <row r="828" spans="2:8">
      <c r="B828" s="277" t="s">
        <v>1613</v>
      </c>
      <c r="C828" s="46">
        <v>756</v>
      </c>
      <c r="D828" s="46">
        <v>857</v>
      </c>
      <c r="E828" s="45">
        <v>1613</v>
      </c>
      <c r="F828" s="46">
        <v>814</v>
      </c>
      <c r="G828" s="46">
        <v>957</v>
      </c>
      <c r="H828" s="45">
        <v>1771</v>
      </c>
    </row>
    <row r="829" spans="2:8">
      <c r="B829" s="277" t="s">
        <v>1614</v>
      </c>
      <c r="C829" s="46">
        <v>524</v>
      </c>
      <c r="D829" s="46">
        <v>830</v>
      </c>
      <c r="E829" s="45">
        <v>1354</v>
      </c>
      <c r="F829" s="46">
        <v>577</v>
      </c>
      <c r="G829" s="46">
        <v>900</v>
      </c>
      <c r="H829" s="45">
        <v>1477</v>
      </c>
    </row>
    <row r="830" spans="2:8">
      <c r="B830" s="308" t="s">
        <v>1617</v>
      </c>
      <c r="C830" s="310">
        <v>2621</v>
      </c>
      <c r="D830" s="310">
        <v>3424</v>
      </c>
      <c r="E830" s="310">
        <v>6045</v>
      </c>
      <c r="F830" s="310">
        <v>2908</v>
      </c>
      <c r="G830" s="310">
        <v>3767</v>
      </c>
      <c r="H830" s="310">
        <v>6675</v>
      </c>
    </row>
    <row r="831" spans="2:8">
      <c r="B831" s="276" t="s">
        <v>1534</v>
      </c>
      <c r="C831" s="305">
        <v>26833</v>
      </c>
      <c r="D831" s="305">
        <v>36213</v>
      </c>
      <c r="E831" s="305">
        <v>63046</v>
      </c>
      <c r="F831" s="305">
        <v>29101</v>
      </c>
      <c r="G831" s="305">
        <v>38438</v>
      </c>
      <c r="H831" s="305">
        <v>67539</v>
      </c>
    </row>
    <row r="832" spans="2:8">
      <c r="B832" s="81" t="s">
        <v>265</v>
      </c>
    </row>
    <row r="833" spans="2:8">
      <c r="B833" s="2" t="s">
        <v>314</v>
      </c>
    </row>
    <row r="834" spans="2:8" ht="18" customHeight="1">
      <c r="B834" s="88" t="s">
        <v>1652</v>
      </c>
    </row>
    <row r="835" spans="2:8" ht="15" customHeight="1">
      <c r="B835" s="896" t="s">
        <v>1580</v>
      </c>
      <c r="C835" s="860" t="s">
        <v>687</v>
      </c>
      <c r="D835" s="860"/>
      <c r="E835" s="860"/>
      <c r="F835" s="860" t="s">
        <v>257</v>
      </c>
      <c r="G835" s="860"/>
      <c r="H835" s="860"/>
    </row>
    <row r="836" spans="2:8">
      <c r="B836" s="896"/>
      <c r="C836" s="42" t="s">
        <v>625</v>
      </c>
      <c r="D836" s="42" t="s">
        <v>626</v>
      </c>
      <c r="E836" s="42" t="s">
        <v>415</v>
      </c>
      <c r="F836" s="42" t="s">
        <v>625</v>
      </c>
      <c r="G836" s="42" t="s">
        <v>626</v>
      </c>
      <c r="H836" s="42" t="s">
        <v>415</v>
      </c>
    </row>
    <row r="837" spans="2:8">
      <c r="B837" s="277" t="s">
        <v>1581</v>
      </c>
      <c r="C837" s="46">
        <v>528</v>
      </c>
      <c r="D837" s="46">
        <v>252</v>
      </c>
      <c r="E837" s="46">
        <v>780</v>
      </c>
      <c r="F837" s="46">
        <v>591</v>
      </c>
      <c r="G837" s="46">
        <v>293</v>
      </c>
      <c r="H837" s="46">
        <v>884</v>
      </c>
    </row>
    <row r="838" spans="2:8">
      <c r="B838" s="277" t="s">
        <v>1582</v>
      </c>
      <c r="C838" s="46">
        <v>511</v>
      </c>
      <c r="D838" s="46">
        <v>271</v>
      </c>
      <c r="E838" s="46">
        <v>782</v>
      </c>
      <c r="F838" s="46">
        <v>543</v>
      </c>
      <c r="G838" s="46">
        <v>309</v>
      </c>
      <c r="H838" s="46">
        <v>852</v>
      </c>
    </row>
    <row r="839" spans="2:8">
      <c r="B839" s="277" t="s">
        <v>1583</v>
      </c>
      <c r="C839" s="46">
        <v>538</v>
      </c>
      <c r="D839" s="46">
        <v>432</v>
      </c>
      <c r="E839" s="46">
        <v>970</v>
      </c>
      <c r="F839" s="46">
        <v>688</v>
      </c>
      <c r="G839" s="46">
        <v>476</v>
      </c>
      <c r="H839" s="46">
        <v>1164</v>
      </c>
    </row>
    <row r="840" spans="2:8">
      <c r="B840" s="277" t="s">
        <v>1584</v>
      </c>
      <c r="C840" s="46">
        <v>594</v>
      </c>
      <c r="D840" s="46">
        <v>339</v>
      </c>
      <c r="E840" s="46">
        <v>933</v>
      </c>
      <c r="F840" s="46">
        <v>598</v>
      </c>
      <c r="G840" s="46">
        <v>364</v>
      </c>
      <c r="H840" s="46">
        <v>962</v>
      </c>
    </row>
    <row r="841" spans="2:8">
      <c r="B841" s="277" t="s">
        <v>1585</v>
      </c>
      <c r="C841" s="46">
        <v>560</v>
      </c>
      <c r="D841" s="46">
        <v>332</v>
      </c>
      <c r="E841" s="46">
        <v>892</v>
      </c>
      <c r="F841" s="46">
        <v>601</v>
      </c>
      <c r="G841" s="46">
        <v>379</v>
      </c>
      <c r="H841" s="46">
        <v>980</v>
      </c>
    </row>
    <row r="842" spans="2:8">
      <c r="B842" s="277" t="s">
        <v>1586</v>
      </c>
      <c r="C842" s="46">
        <v>578</v>
      </c>
      <c r="D842" s="46">
        <v>266</v>
      </c>
      <c r="E842" s="46">
        <v>844</v>
      </c>
      <c r="F842" s="46">
        <v>570</v>
      </c>
      <c r="G842" s="46">
        <v>304</v>
      </c>
      <c r="H842" s="46">
        <v>874</v>
      </c>
    </row>
    <row r="843" spans="2:8">
      <c r="B843" s="277" t="s">
        <v>1587</v>
      </c>
      <c r="C843" s="46">
        <v>499</v>
      </c>
      <c r="D843" s="46">
        <v>230</v>
      </c>
      <c r="E843" s="46">
        <v>729</v>
      </c>
      <c r="F843" s="46">
        <v>544</v>
      </c>
      <c r="G843" s="46">
        <v>280</v>
      </c>
      <c r="H843" s="46">
        <v>824</v>
      </c>
    </row>
    <row r="844" spans="2:8">
      <c r="B844" s="277" t="s">
        <v>1588</v>
      </c>
      <c r="C844" s="46">
        <v>498</v>
      </c>
      <c r="D844" s="46">
        <v>324</v>
      </c>
      <c r="E844" s="46">
        <v>822</v>
      </c>
      <c r="F844" s="46">
        <v>548</v>
      </c>
      <c r="G844" s="46">
        <v>371</v>
      </c>
      <c r="H844" s="46">
        <v>919</v>
      </c>
    </row>
    <row r="845" spans="2:8">
      <c r="B845" s="308" t="s">
        <v>1589</v>
      </c>
      <c r="C845" s="310">
        <v>4306</v>
      </c>
      <c r="D845" s="310">
        <v>2446</v>
      </c>
      <c r="E845" s="310">
        <v>6752</v>
      </c>
      <c r="F845" s="310">
        <v>4683</v>
      </c>
      <c r="G845" s="310">
        <v>2776</v>
      </c>
      <c r="H845" s="310">
        <v>7459</v>
      </c>
    </row>
    <row r="846" spans="2:8">
      <c r="B846" s="277" t="s">
        <v>1590</v>
      </c>
      <c r="C846" s="46">
        <v>660</v>
      </c>
      <c r="D846" s="46">
        <v>320</v>
      </c>
      <c r="E846" s="46">
        <v>980</v>
      </c>
      <c r="F846" s="46">
        <v>730</v>
      </c>
      <c r="G846" s="46">
        <v>379</v>
      </c>
      <c r="H846" s="46">
        <v>1109</v>
      </c>
    </row>
    <row r="847" spans="2:8">
      <c r="B847" s="277" t="s">
        <v>1591</v>
      </c>
      <c r="C847" s="46">
        <v>401</v>
      </c>
      <c r="D847" s="46">
        <v>233</v>
      </c>
      <c r="E847" s="46">
        <v>634</v>
      </c>
      <c r="F847" s="46">
        <v>430</v>
      </c>
      <c r="G847" s="46">
        <v>318</v>
      </c>
      <c r="H847" s="46">
        <v>748</v>
      </c>
    </row>
    <row r="848" spans="2:8">
      <c r="B848" s="277" t="s">
        <v>1592</v>
      </c>
      <c r="C848" s="46">
        <v>510</v>
      </c>
      <c r="D848" s="46">
        <v>217</v>
      </c>
      <c r="E848" s="46">
        <v>727</v>
      </c>
      <c r="F848" s="46">
        <v>540</v>
      </c>
      <c r="G848" s="46">
        <v>225</v>
      </c>
      <c r="H848" s="46">
        <v>765</v>
      </c>
    </row>
    <row r="849" spans="2:8">
      <c r="B849" s="277" t="s">
        <v>1593</v>
      </c>
      <c r="C849" s="46">
        <v>608</v>
      </c>
      <c r="D849" s="46">
        <v>374</v>
      </c>
      <c r="E849" s="46">
        <v>982</v>
      </c>
      <c r="F849" s="46">
        <v>655</v>
      </c>
      <c r="G849" s="46">
        <v>418</v>
      </c>
      <c r="H849" s="46">
        <v>1073</v>
      </c>
    </row>
    <row r="850" spans="2:8">
      <c r="B850" s="277" t="s">
        <v>1594</v>
      </c>
      <c r="C850" s="46">
        <v>601</v>
      </c>
      <c r="D850" s="46">
        <v>294</v>
      </c>
      <c r="E850" s="46">
        <v>895</v>
      </c>
      <c r="F850" s="46">
        <v>640</v>
      </c>
      <c r="G850" s="46">
        <v>334</v>
      </c>
      <c r="H850" s="46">
        <v>974</v>
      </c>
    </row>
    <row r="851" spans="2:8">
      <c r="B851" s="277" t="s">
        <v>1595</v>
      </c>
      <c r="C851" s="46">
        <v>616</v>
      </c>
      <c r="D851" s="46">
        <v>355</v>
      </c>
      <c r="E851" s="46">
        <v>971</v>
      </c>
      <c r="F851" s="46">
        <v>634</v>
      </c>
      <c r="G851" s="46">
        <v>400</v>
      </c>
      <c r="H851" s="46">
        <v>1034</v>
      </c>
    </row>
    <row r="852" spans="2:8">
      <c r="B852" s="277" t="s">
        <v>1596</v>
      </c>
      <c r="C852" s="46">
        <v>500</v>
      </c>
      <c r="D852" s="46">
        <v>224</v>
      </c>
      <c r="E852" s="46">
        <v>724</v>
      </c>
      <c r="F852" s="46">
        <v>567</v>
      </c>
      <c r="G852" s="46">
        <v>271</v>
      </c>
      <c r="H852" s="46">
        <v>838</v>
      </c>
    </row>
    <row r="853" spans="2:8">
      <c r="B853" s="308" t="s">
        <v>1597</v>
      </c>
      <c r="C853" s="310">
        <v>3896</v>
      </c>
      <c r="D853" s="310">
        <v>2017</v>
      </c>
      <c r="E853" s="310">
        <v>5913</v>
      </c>
      <c r="F853" s="310">
        <v>4196</v>
      </c>
      <c r="G853" s="310">
        <v>2345</v>
      </c>
      <c r="H853" s="310">
        <v>6541</v>
      </c>
    </row>
    <row r="854" spans="2:8">
      <c r="B854" s="277" t="s">
        <v>1598</v>
      </c>
      <c r="C854" s="46">
        <v>644</v>
      </c>
      <c r="D854" s="46">
        <v>309</v>
      </c>
      <c r="E854" s="46">
        <v>953</v>
      </c>
      <c r="F854" s="46">
        <v>711</v>
      </c>
      <c r="G854" s="46">
        <v>340</v>
      </c>
      <c r="H854" s="46">
        <v>1051</v>
      </c>
    </row>
    <row r="855" spans="2:8">
      <c r="B855" s="277" t="s">
        <v>1599</v>
      </c>
      <c r="C855" s="46">
        <v>773</v>
      </c>
      <c r="D855" s="46">
        <v>349</v>
      </c>
      <c r="E855" s="45">
        <v>1122</v>
      </c>
      <c r="F855" s="46">
        <v>865</v>
      </c>
      <c r="G855" s="46">
        <v>390</v>
      </c>
      <c r="H855" s="45">
        <v>1255</v>
      </c>
    </row>
    <row r="856" spans="2:8">
      <c r="B856" s="277" t="s">
        <v>1600</v>
      </c>
      <c r="C856" s="46">
        <v>575</v>
      </c>
      <c r="D856" s="46">
        <v>208</v>
      </c>
      <c r="E856" s="46">
        <v>783</v>
      </c>
      <c r="F856" s="46">
        <v>658</v>
      </c>
      <c r="G856" s="46">
        <v>250</v>
      </c>
      <c r="H856" s="46">
        <v>908</v>
      </c>
    </row>
    <row r="857" spans="2:8">
      <c r="B857" s="277" t="s">
        <v>1601</v>
      </c>
      <c r="C857" s="46">
        <v>602</v>
      </c>
      <c r="D857" s="46">
        <v>244</v>
      </c>
      <c r="E857" s="46">
        <v>846</v>
      </c>
      <c r="F857" s="46">
        <v>653</v>
      </c>
      <c r="G857" s="46">
        <v>283</v>
      </c>
      <c r="H857" s="46">
        <v>936</v>
      </c>
    </row>
    <row r="858" spans="2:8">
      <c r="B858" s="277" t="s">
        <v>1602</v>
      </c>
      <c r="C858" s="46">
        <v>485</v>
      </c>
      <c r="D858" s="46">
        <v>198</v>
      </c>
      <c r="E858" s="46">
        <v>683</v>
      </c>
      <c r="F858" s="46">
        <v>522</v>
      </c>
      <c r="G858" s="46">
        <v>225</v>
      </c>
      <c r="H858" s="46">
        <v>747</v>
      </c>
    </row>
    <row r="859" spans="2:8">
      <c r="B859" s="277" t="s">
        <v>1603</v>
      </c>
      <c r="C859" s="46">
        <v>817</v>
      </c>
      <c r="D859" s="46">
        <v>315</v>
      </c>
      <c r="E859" s="45">
        <v>1132</v>
      </c>
      <c r="F859" s="46">
        <v>922</v>
      </c>
      <c r="G859" s="46">
        <v>382</v>
      </c>
      <c r="H859" s="45">
        <v>1304</v>
      </c>
    </row>
    <row r="860" spans="2:8">
      <c r="B860" s="277" t="s">
        <v>1604</v>
      </c>
      <c r="C860" s="46">
        <v>624</v>
      </c>
      <c r="D860" s="46">
        <v>314</v>
      </c>
      <c r="E860" s="46">
        <v>938</v>
      </c>
      <c r="F860" s="46">
        <v>645</v>
      </c>
      <c r="G860" s="46">
        <v>349</v>
      </c>
      <c r="H860" s="46">
        <v>994</v>
      </c>
    </row>
    <row r="861" spans="2:8">
      <c r="B861" s="308" t="s">
        <v>1605</v>
      </c>
      <c r="C861" s="310">
        <v>4520</v>
      </c>
      <c r="D861" s="310">
        <v>1937</v>
      </c>
      <c r="E861" s="310">
        <v>6457</v>
      </c>
      <c r="F861" s="310">
        <v>4976</v>
      </c>
      <c r="G861" s="310">
        <v>2219</v>
      </c>
      <c r="H861" s="310">
        <v>7195</v>
      </c>
    </row>
    <row r="862" spans="2:8">
      <c r="B862" s="277" t="s">
        <v>1606</v>
      </c>
      <c r="C862" s="46">
        <v>523</v>
      </c>
      <c r="D862" s="46">
        <v>200</v>
      </c>
      <c r="E862" s="46">
        <v>723</v>
      </c>
      <c r="F862" s="46">
        <v>550</v>
      </c>
      <c r="G862" s="46">
        <v>234</v>
      </c>
      <c r="H862" s="46">
        <v>784</v>
      </c>
    </row>
    <row r="863" spans="2:8">
      <c r="B863" s="277" t="s">
        <v>1607</v>
      </c>
      <c r="C863" s="46">
        <v>535</v>
      </c>
      <c r="D863" s="46">
        <v>269</v>
      </c>
      <c r="E863" s="46">
        <v>804</v>
      </c>
      <c r="F863" s="46">
        <v>593</v>
      </c>
      <c r="G863" s="46">
        <v>330</v>
      </c>
      <c r="H863" s="46">
        <v>923</v>
      </c>
    </row>
    <row r="864" spans="2:8">
      <c r="B864" s="277" t="s">
        <v>1608</v>
      </c>
      <c r="C864" s="46">
        <v>689</v>
      </c>
      <c r="D864" s="46">
        <v>314</v>
      </c>
      <c r="E864" s="45">
        <v>1003</v>
      </c>
      <c r="F864" s="46">
        <v>710</v>
      </c>
      <c r="G864" s="46">
        <v>356</v>
      </c>
      <c r="H864" s="45">
        <v>1066</v>
      </c>
    </row>
    <row r="865" spans="2:8">
      <c r="B865" s="277" t="s">
        <v>1609</v>
      </c>
      <c r="C865" s="46">
        <v>558</v>
      </c>
      <c r="D865" s="46">
        <v>326</v>
      </c>
      <c r="E865" s="46">
        <v>884</v>
      </c>
      <c r="F865" s="46">
        <v>574</v>
      </c>
      <c r="G865" s="46">
        <v>374</v>
      </c>
      <c r="H865" s="46">
        <v>948</v>
      </c>
    </row>
    <row r="866" spans="2:8">
      <c r="B866" s="277" t="s">
        <v>1610</v>
      </c>
      <c r="C866" s="46">
        <v>538</v>
      </c>
      <c r="D866" s="46">
        <v>281</v>
      </c>
      <c r="E866" s="46">
        <v>819</v>
      </c>
      <c r="F866" s="46">
        <v>613</v>
      </c>
      <c r="G866" s="46">
        <v>346</v>
      </c>
      <c r="H866" s="46">
        <v>959</v>
      </c>
    </row>
    <row r="867" spans="2:8">
      <c r="B867" s="308" t="s">
        <v>1611</v>
      </c>
      <c r="C867" s="310">
        <v>2843</v>
      </c>
      <c r="D867" s="310">
        <v>1390</v>
      </c>
      <c r="E867" s="310">
        <v>4233</v>
      </c>
      <c r="F867" s="310">
        <v>3040</v>
      </c>
      <c r="G867" s="310">
        <v>1640</v>
      </c>
      <c r="H867" s="310">
        <v>4680</v>
      </c>
    </row>
    <row r="868" spans="2:8">
      <c r="B868" s="277" t="s">
        <v>1612</v>
      </c>
      <c r="C868" s="46">
        <v>585</v>
      </c>
      <c r="D868" s="46">
        <v>336</v>
      </c>
      <c r="E868" s="46">
        <v>921</v>
      </c>
      <c r="F868" s="46">
        <v>663</v>
      </c>
      <c r="G868" s="46">
        <v>365</v>
      </c>
      <c r="H868" s="46">
        <v>1028</v>
      </c>
    </row>
    <row r="869" spans="2:8">
      <c r="B869" s="277" t="s">
        <v>1613</v>
      </c>
      <c r="C869" s="46">
        <v>441</v>
      </c>
      <c r="D869" s="46">
        <v>194</v>
      </c>
      <c r="E869" s="46">
        <v>635</v>
      </c>
      <c r="F869" s="46">
        <v>417</v>
      </c>
      <c r="G869" s="46">
        <v>232</v>
      </c>
      <c r="H869" s="46">
        <v>649</v>
      </c>
    </row>
    <row r="870" spans="2:8">
      <c r="B870" s="277" t="s">
        <v>1614</v>
      </c>
      <c r="C870" s="46">
        <v>346</v>
      </c>
      <c r="D870" s="46">
        <v>211</v>
      </c>
      <c r="E870" s="46">
        <v>557</v>
      </c>
      <c r="F870" s="46">
        <v>366</v>
      </c>
      <c r="G870" s="46">
        <v>222</v>
      </c>
      <c r="H870" s="46">
        <v>588</v>
      </c>
    </row>
    <row r="871" spans="2:8">
      <c r="B871" s="308" t="s">
        <v>1617</v>
      </c>
      <c r="C871" s="310">
        <v>1372</v>
      </c>
      <c r="D871" s="309">
        <v>741</v>
      </c>
      <c r="E871" s="310">
        <v>2113</v>
      </c>
      <c r="F871" s="310">
        <v>1446</v>
      </c>
      <c r="G871" s="309">
        <v>819</v>
      </c>
      <c r="H871" s="310">
        <v>2265</v>
      </c>
    </row>
    <row r="872" spans="2:8">
      <c r="B872" s="276" t="s">
        <v>1534</v>
      </c>
      <c r="C872" s="311">
        <v>16937</v>
      </c>
      <c r="D872" s="311">
        <v>8531</v>
      </c>
      <c r="E872" s="311">
        <v>25468</v>
      </c>
      <c r="F872" s="311">
        <v>18341</v>
      </c>
      <c r="G872" s="311">
        <v>9799</v>
      </c>
      <c r="H872" s="311">
        <v>28140</v>
      </c>
    </row>
    <row r="873" spans="2:8">
      <c r="B873" s="81" t="s">
        <v>265</v>
      </c>
    </row>
    <row r="874" spans="2:8">
      <c r="B874" s="307"/>
    </row>
    <row r="875" spans="2:8" ht="15.5">
      <c r="B875" s="88" t="s">
        <v>1653</v>
      </c>
    </row>
    <row r="876" spans="2:8">
      <c r="B876" s="896" t="s">
        <v>1580</v>
      </c>
      <c r="C876" s="860" t="s">
        <v>687</v>
      </c>
      <c r="D876" s="860"/>
      <c r="E876" s="860"/>
      <c r="F876" s="860" t="s">
        <v>257</v>
      </c>
      <c r="G876" s="860"/>
      <c r="H876" s="860"/>
    </row>
    <row r="877" spans="2:8">
      <c r="B877" s="896"/>
      <c r="C877" s="42" t="s">
        <v>625</v>
      </c>
      <c r="D877" s="42" t="s">
        <v>626</v>
      </c>
      <c r="E877" s="42" t="s">
        <v>415</v>
      </c>
      <c r="F877" s="42" t="s">
        <v>625</v>
      </c>
      <c r="G877" s="42" t="s">
        <v>626</v>
      </c>
      <c r="H877" s="42" t="s">
        <v>415</v>
      </c>
    </row>
    <row r="878" spans="2:8">
      <c r="B878" s="277" t="s">
        <v>1581</v>
      </c>
      <c r="C878" s="46">
        <v>82</v>
      </c>
      <c r="D878" s="46">
        <v>40</v>
      </c>
      <c r="E878" s="46">
        <v>122</v>
      </c>
      <c r="F878" s="46">
        <v>91</v>
      </c>
      <c r="G878" s="46">
        <v>42</v>
      </c>
      <c r="H878" s="46">
        <v>133</v>
      </c>
    </row>
    <row r="879" spans="2:8">
      <c r="B879" s="277" t="s">
        <v>1582</v>
      </c>
      <c r="C879" s="46">
        <v>97</v>
      </c>
      <c r="D879" s="46">
        <v>46</v>
      </c>
      <c r="E879" s="46">
        <v>143</v>
      </c>
      <c r="F879" s="46">
        <v>112</v>
      </c>
      <c r="G879" s="46">
        <v>73</v>
      </c>
      <c r="H879" s="46">
        <v>185</v>
      </c>
    </row>
    <row r="880" spans="2:8">
      <c r="B880" s="277" t="s">
        <v>1583</v>
      </c>
      <c r="C880" s="46">
        <v>72</v>
      </c>
      <c r="D880" s="46">
        <v>48</v>
      </c>
      <c r="E880" s="46">
        <v>120</v>
      </c>
      <c r="F880" s="46">
        <v>96</v>
      </c>
      <c r="G880" s="46">
        <v>54</v>
      </c>
      <c r="H880" s="46">
        <v>150</v>
      </c>
    </row>
    <row r="881" spans="2:8">
      <c r="B881" s="277" t="s">
        <v>1584</v>
      </c>
      <c r="C881" s="46">
        <v>168</v>
      </c>
      <c r="D881" s="46">
        <v>76</v>
      </c>
      <c r="E881" s="46">
        <v>244</v>
      </c>
      <c r="F881" s="46">
        <v>180</v>
      </c>
      <c r="G881" s="46">
        <v>87</v>
      </c>
      <c r="H881" s="46">
        <v>267</v>
      </c>
    </row>
    <row r="882" spans="2:8">
      <c r="B882" s="277" t="s">
        <v>1585</v>
      </c>
      <c r="C882" s="46">
        <v>89</v>
      </c>
      <c r="D882" s="46">
        <v>48</v>
      </c>
      <c r="E882" s="46">
        <v>137</v>
      </c>
      <c r="F882" s="46">
        <v>106</v>
      </c>
      <c r="G882" s="46">
        <v>63</v>
      </c>
      <c r="H882" s="46">
        <v>169</v>
      </c>
    </row>
    <row r="883" spans="2:8">
      <c r="B883" s="277" t="s">
        <v>1586</v>
      </c>
      <c r="C883" s="46">
        <v>160</v>
      </c>
      <c r="D883" s="46">
        <v>47</v>
      </c>
      <c r="E883" s="46">
        <v>207</v>
      </c>
      <c r="F883" s="46">
        <v>193</v>
      </c>
      <c r="G883" s="46">
        <v>86</v>
      </c>
      <c r="H883" s="46">
        <v>279</v>
      </c>
    </row>
    <row r="884" spans="2:8">
      <c r="B884" s="277" t="s">
        <v>1587</v>
      </c>
      <c r="C884" s="46">
        <v>61</v>
      </c>
      <c r="D884" s="46">
        <v>33</v>
      </c>
      <c r="E884" s="46">
        <v>94</v>
      </c>
      <c r="F884" s="46">
        <v>90</v>
      </c>
      <c r="G884" s="46">
        <v>48</v>
      </c>
      <c r="H884" s="46">
        <v>138</v>
      </c>
    </row>
    <row r="885" spans="2:8">
      <c r="B885" s="277" t="s">
        <v>1588</v>
      </c>
      <c r="C885" s="46">
        <v>172</v>
      </c>
      <c r="D885" s="46">
        <v>82</v>
      </c>
      <c r="E885" s="46">
        <v>254</v>
      </c>
      <c r="F885" s="46">
        <v>227</v>
      </c>
      <c r="G885" s="46">
        <v>84</v>
      </c>
      <c r="H885" s="46">
        <v>311</v>
      </c>
    </row>
    <row r="886" spans="2:8">
      <c r="B886" s="308" t="s">
        <v>1589</v>
      </c>
      <c r="C886" s="309">
        <v>901</v>
      </c>
      <c r="D886" s="309">
        <v>420</v>
      </c>
      <c r="E886" s="310">
        <v>1321</v>
      </c>
      <c r="F886" s="309">
        <v>1095</v>
      </c>
      <c r="G886" s="309">
        <v>537</v>
      </c>
      <c r="H886" s="310">
        <v>1632</v>
      </c>
    </row>
    <row r="887" spans="2:8">
      <c r="B887" s="277" t="s">
        <v>1590</v>
      </c>
      <c r="C887" s="46">
        <v>86</v>
      </c>
      <c r="D887" s="46">
        <v>41</v>
      </c>
      <c r="E887" s="46">
        <v>127</v>
      </c>
      <c r="F887" s="46">
        <v>152</v>
      </c>
      <c r="G887" s="46">
        <v>59</v>
      </c>
      <c r="H887" s="46">
        <v>211</v>
      </c>
    </row>
    <row r="888" spans="2:8">
      <c r="B888" s="277" t="s">
        <v>1591</v>
      </c>
      <c r="C888" s="46">
        <v>76</v>
      </c>
      <c r="D888" s="46">
        <v>34</v>
      </c>
      <c r="E888" s="46">
        <v>110</v>
      </c>
      <c r="F888" s="46">
        <v>94</v>
      </c>
      <c r="G888" s="46">
        <v>43</v>
      </c>
      <c r="H888" s="46">
        <v>137</v>
      </c>
    </row>
    <row r="889" spans="2:8">
      <c r="B889" s="277" t="s">
        <v>1592</v>
      </c>
      <c r="C889" s="46">
        <v>108</v>
      </c>
      <c r="D889" s="46">
        <v>33</v>
      </c>
      <c r="E889" s="46">
        <v>141</v>
      </c>
      <c r="F889" s="46">
        <v>127</v>
      </c>
      <c r="G889" s="46">
        <v>44</v>
      </c>
      <c r="H889" s="46">
        <v>171</v>
      </c>
    </row>
    <row r="890" spans="2:8">
      <c r="B890" s="277" t="s">
        <v>1593</v>
      </c>
      <c r="C890" s="46">
        <v>82</v>
      </c>
      <c r="D890" s="46">
        <v>50</v>
      </c>
      <c r="E890" s="46">
        <v>132</v>
      </c>
      <c r="F890" s="46">
        <v>99</v>
      </c>
      <c r="G890" s="46">
        <v>61</v>
      </c>
      <c r="H890" s="46">
        <v>160</v>
      </c>
    </row>
    <row r="891" spans="2:8">
      <c r="B891" s="277" t="s">
        <v>1594</v>
      </c>
      <c r="C891" s="46">
        <v>110</v>
      </c>
      <c r="D891" s="46">
        <v>35</v>
      </c>
      <c r="E891" s="46">
        <v>145</v>
      </c>
      <c r="F891" s="46">
        <v>135</v>
      </c>
      <c r="G891" s="46">
        <v>55</v>
      </c>
      <c r="H891" s="46">
        <v>190</v>
      </c>
    </row>
    <row r="892" spans="2:8">
      <c r="B892" s="277" t="s">
        <v>1595</v>
      </c>
      <c r="C892" s="46">
        <v>127</v>
      </c>
      <c r="D892" s="46">
        <v>55</v>
      </c>
      <c r="E892" s="46">
        <v>182</v>
      </c>
      <c r="F892" s="46">
        <v>165</v>
      </c>
      <c r="G892" s="46">
        <v>85</v>
      </c>
      <c r="H892" s="46">
        <v>250</v>
      </c>
    </row>
    <row r="893" spans="2:8">
      <c r="B893" s="277" t="s">
        <v>1596</v>
      </c>
      <c r="C893" s="46">
        <v>52</v>
      </c>
      <c r="D893" s="46">
        <v>20</v>
      </c>
      <c r="E893" s="46">
        <v>72</v>
      </c>
      <c r="F893" s="46">
        <v>74</v>
      </c>
      <c r="G893" s="46">
        <v>40</v>
      </c>
      <c r="H893" s="46">
        <v>114</v>
      </c>
    </row>
    <row r="894" spans="2:8">
      <c r="B894" s="308" t="s">
        <v>1597</v>
      </c>
      <c r="C894" s="309">
        <v>641</v>
      </c>
      <c r="D894" s="309">
        <v>268</v>
      </c>
      <c r="E894" s="309">
        <v>909</v>
      </c>
      <c r="F894" s="309">
        <v>846</v>
      </c>
      <c r="G894" s="309">
        <v>387</v>
      </c>
      <c r="H894" s="309">
        <v>1233</v>
      </c>
    </row>
    <row r="895" spans="2:8">
      <c r="B895" s="277" t="s">
        <v>1598</v>
      </c>
      <c r="C895" s="46">
        <v>89</v>
      </c>
      <c r="D895" s="46">
        <v>27</v>
      </c>
      <c r="E895" s="46">
        <v>116</v>
      </c>
      <c r="F895" s="46">
        <v>111</v>
      </c>
      <c r="G895" s="46">
        <v>39</v>
      </c>
      <c r="H895" s="46">
        <v>150</v>
      </c>
    </row>
    <row r="896" spans="2:8">
      <c r="B896" s="277" t="s">
        <v>1599</v>
      </c>
      <c r="C896" s="46">
        <v>123</v>
      </c>
      <c r="D896" s="46">
        <v>59</v>
      </c>
      <c r="E896" s="46">
        <v>182</v>
      </c>
      <c r="F896" s="46">
        <v>169</v>
      </c>
      <c r="G896" s="46">
        <v>75</v>
      </c>
      <c r="H896" s="46">
        <v>244</v>
      </c>
    </row>
    <row r="897" spans="2:8">
      <c r="B897" s="277" t="s">
        <v>1600</v>
      </c>
      <c r="C897" s="46">
        <v>52</v>
      </c>
      <c r="D897" s="46">
        <v>11</v>
      </c>
      <c r="E897" s="46">
        <v>63</v>
      </c>
      <c r="F897" s="46">
        <v>89</v>
      </c>
      <c r="G897" s="46">
        <v>30</v>
      </c>
      <c r="H897" s="46">
        <v>119</v>
      </c>
    </row>
    <row r="898" spans="2:8">
      <c r="B898" s="277" t="s">
        <v>1601</v>
      </c>
      <c r="C898" s="46">
        <v>83</v>
      </c>
      <c r="D898" s="46">
        <v>26</v>
      </c>
      <c r="E898" s="46">
        <v>109</v>
      </c>
      <c r="F898" s="46">
        <v>94</v>
      </c>
      <c r="G898" s="46">
        <v>24</v>
      </c>
      <c r="H898" s="46">
        <v>118</v>
      </c>
    </row>
    <row r="899" spans="2:8">
      <c r="B899" s="277" t="s">
        <v>1602</v>
      </c>
      <c r="C899" s="46">
        <v>61</v>
      </c>
      <c r="D899" s="46">
        <v>28</v>
      </c>
      <c r="E899" s="46">
        <v>89</v>
      </c>
      <c r="F899" s="46">
        <v>88</v>
      </c>
      <c r="G899" s="46">
        <v>51</v>
      </c>
      <c r="H899" s="46">
        <v>139</v>
      </c>
    </row>
    <row r="900" spans="2:8">
      <c r="B900" s="277" t="s">
        <v>1603</v>
      </c>
      <c r="C900" s="46">
        <v>71</v>
      </c>
      <c r="D900" s="46">
        <v>30</v>
      </c>
      <c r="E900" s="46">
        <v>101</v>
      </c>
      <c r="F900" s="46">
        <v>95</v>
      </c>
      <c r="G900" s="46">
        <v>37</v>
      </c>
      <c r="H900" s="46">
        <v>132</v>
      </c>
    </row>
    <row r="901" spans="2:8">
      <c r="B901" s="277" t="s">
        <v>1604</v>
      </c>
      <c r="C901" s="46">
        <v>96</v>
      </c>
      <c r="D901" s="46">
        <v>32</v>
      </c>
      <c r="E901" s="46">
        <v>128</v>
      </c>
      <c r="F901" s="46">
        <v>99</v>
      </c>
      <c r="G901" s="46">
        <v>50</v>
      </c>
      <c r="H901" s="46">
        <v>149</v>
      </c>
    </row>
    <row r="902" spans="2:8">
      <c r="B902" s="308" t="s">
        <v>1605</v>
      </c>
      <c r="C902" s="309">
        <v>575</v>
      </c>
      <c r="D902" s="309">
        <v>213</v>
      </c>
      <c r="E902" s="309">
        <v>788</v>
      </c>
      <c r="F902" s="309">
        <v>745</v>
      </c>
      <c r="G902" s="309">
        <v>306</v>
      </c>
      <c r="H902" s="309">
        <v>1051</v>
      </c>
    </row>
    <row r="903" spans="2:8">
      <c r="B903" s="277" t="s">
        <v>1606</v>
      </c>
      <c r="C903" s="46">
        <v>59</v>
      </c>
      <c r="D903" s="46">
        <v>25</v>
      </c>
      <c r="E903" s="46">
        <v>84</v>
      </c>
      <c r="F903" s="46">
        <v>110</v>
      </c>
      <c r="G903" s="46">
        <v>32</v>
      </c>
      <c r="H903" s="46">
        <v>142</v>
      </c>
    </row>
    <row r="904" spans="2:8">
      <c r="B904" s="277" t="s">
        <v>1607</v>
      </c>
      <c r="C904" s="46">
        <v>62</v>
      </c>
      <c r="D904" s="46">
        <v>30</v>
      </c>
      <c r="E904" s="46">
        <v>92</v>
      </c>
      <c r="F904" s="46">
        <v>111</v>
      </c>
      <c r="G904" s="46">
        <v>50</v>
      </c>
      <c r="H904" s="46">
        <v>161</v>
      </c>
    </row>
    <row r="905" spans="2:8">
      <c r="B905" s="277" t="s">
        <v>1608</v>
      </c>
      <c r="C905" s="46">
        <v>113</v>
      </c>
      <c r="D905" s="46">
        <v>55</v>
      </c>
      <c r="E905" s="46">
        <v>168</v>
      </c>
      <c r="F905" s="46">
        <v>132</v>
      </c>
      <c r="G905" s="46">
        <v>59</v>
      </c>
      <c r="H905" s="46">
        <v>191</v>
      </c>
    </row>
    <row r="906" spans="2:8">
      <c r="B906" s="277" t="s">
        <v>1609</v>
      </c>
      <c r="C906" s="46">
        <v>149</v>
      </c>
      <c r="D906" s="46">
        <v>57</v>
      </c>
      <c r="E906" s="46">
        <v>206</v>
      </c>
      <c r="F906" s="46">
        <v>171</v>
      </c>
      <c r="G906" s="46">
        <v>69</v>
      </c>
      <c r="H906" s="46">
        <v>240</v>
      </c>
    </row>
    <row r="907" spans="2:8">
      <c r="B907" s="277" t="s">
        <v>1610</v>
      </c>
      <c r="C907" s="46">
        <v>94</v>
      </c>
      <c r="D907" s="46">
        <v>50</v>
      </c>
      <c r="E907" s="46">
        <v>144</v>
      </c>
      <c r="F907" s="46">
        <v>130</v>
      </c>
      <c r="G907" s="46">
        <v>61</v>
      </c>
      <c r="H907" s="46">
        <v>191</v>
      </c>
    </row>
    <row r="908" spans="2:8">
      <c r="B908" s="308" t="s">
        <v>1611</v>
      </c>
      <c r="C908" s="309">
        <v>477</v>
      </c>
      <c r="D908" s="309">
        <v>217</v>
      </c>
      <c r="E908" s="309">
        <v>694</v>
      </c>
      <c r="F908" s="309">
        <v>654</v>
      </c>
      <c r="G908" s="309">
        <v>271</v>
      </c>
      <c r="H908" s="309">
        <v>925</v>
      </c>
    </row>
    <row r="909" spans="2:8">
      <c r="B909" s="277" t="s">
        <v>1612</v>
      </c>
      <c r="C909" s="46">
        <v>74</v>
      </c>
      <c r="D909" s="46">
        <v>35</v>
      </c>
      <c r="E909" s="46">
        <v>109</v>
      </c>
      <c r="F909" s="46">
        <v>165</v>
      </c>
      <c r="G909" s="46">
        <v>73</v>
      </c>
      <c r="H909" s="46">
        <v>238</v>
      </c>
    </row>
    <row r="910" spans="2:8">
      <c r="B910" s="277" t="s">
        <v>1613</v>
      </c>
      <c r="C910" s="46">
        <v>165</v>
      </c>
      <c r="D910" s="46">
        <v>38</v>
      </c>
      <c r="E910" s="46">
        <v>203</v>
      </c>
      <c r="F910" s="46">
        <v>211</v>
      </c>
      <c r="G910" s="46">
        <v>50</v>
      </c>
      <c r="H910" s="46">
        <v>261</v>
      </c>
    </row>
    <row r="911" spans="2:8">
      <c r="B911" s="277" t="s">
        <v>1614</v>
      </c>
      <c r="C911" s="46">
        <v>94</v>
      </c>
      <c r="D911" s="46">
        <v>33</v>
      </c>
      <c r="E911" s="46">
        <v>127</v>
      </c>
      <c r="F911" s="46">
        <v>122</v>
      </c>
      <c r="G911" s="46">
        <v>39</v>
      </c>
      <c r="H911" s="46">
        <v>161</v>
      </c>
    </row>
    <row r="912" spans="2:8">
      <c r="B912" s="308" t="s">
        <v>1615</v>
      </c>
      <c r="C912" s="309">
        <v>333</v>
      </c>
      <c r="D912" s="309">
        <v>106</v>
      </c>
      <c r="E912" s="309">
        <v>439</v>
      </c>
      <c r="F912" s="309">
        <v>498</v>
      </c>
      <c r="G912" s="309">
        <v>162</v>
      </c>
      <c r="H912" s="309">
        <v>660</v>
      </c>
    </row>
    <row r="913" spans="2:8">
      <c r="B913" s="276" t="s">
        <v>1534</v>
      </c>
      <c r="C913" s="311">
        <v>2927</v>
      </c>
      <c r="D913" s="311">
        <v>1224</v>
      </c>
      <c r="E913" s="311">
        <v>4151</v>
      </c>
      <c r="F913" s="311">
        <v>3838</v>
      </c>
      <c r="G913" s="311">
        <v>1663</v>
      </c>
      <c r="H913" s="311">
        <v>5501</v>
      </c>
    </row>
    <row r="914" spans="2:8" ht="27" customHeight="1">
      <c r="B914" s="81" t="s">
        <v>265</v>
      </c>
    </row>
    <row r="915" spans="2:8">
      <c r="B915" s="87"/>
    </row>
    <row r="916" spans="2:8" ht="15.5">
      <c r="B916" s="88" t="s">
        <v>1654</v>
      </c>
    </row>
    <row r="917" spans="2:8">
      <c r="B917" s="896" t="s">
        <v>1580</v>
      </c>
      <c r="C917" s="860" t="s">
        <v>687</v>
      </c>
      <c r="D917" s="860"/>
      <c r="E917" s="860"/>
      <c r="F917" s="860" t="s">
        <v>257</v>
      </c>
      <c r="G917" s="860"/>
      <c r="H917" s="860"/>
    </row>
    <row r="918" spans="2:8">
      <c r="B918" s="896"/>
      <c r="C918" s="42" t="s">
        <v>625</v>
      </c>
      <c r="D918" s="42" t="s">
        <v>626</v>
      </c>
      <c r="E918" s="42" t="s">
        <v>415</v>
      </c>
      <c r="F918" s="42" t="s">
        <v>625</v>
      </c>
      <c r="G918" s="42" t="s">
        <v>626</v>
      </c>
      <c r="H918" s="42" t="s">
        <v>415</v>
      </c>
    </row>
    <row r="919" spans="2:8">
      <c r="B919" s="277" t="s">
        <v>1581</v>
      </c>
      <c r="C919" s="46">
        <v>77</v>
      </c>
      <c r="D919" s="46">
        <v>51</v>
      </c>
      <c r="E919" s="216">
        <v>128</v>
      </c>
      <c r="F919" s="740">
        <v>76</v>
      </c>
      <c r="G919" s="740">
        <v>56</v>
      </c>
      <c r="H919" s="741">
        <v>132</v>
      </c>
    </row>
    <row r="920" spans="2:8">
      <c r="B920" s="277" t="s">
        <v>1582</v>
      </c>
      <c r="C920" s="46">
        <v>51</v>
      </c>
      <c r="D920" s="46">
        <v>84</v>
      </c>
      <c r="E920" s="216">
        <v>135</v>
      </c>
      <c r="F920" s="740">
        <v>57</v>
      </c>
      <c r="G920" s="740">
        <v>79</v>
      </c>
      <c r="H920" s="741">
        <v>136</v>
      </c>
    </row>
    <row r="921" spans="2:8">
      <c r="B921" s="277" t="s">
        <v>1583</v>
      </c>
      <c r="C921" s="46">
        <v>70</v>
      </c>
      <c r="D921" s="46">
        <v>112</v>
      </c>
      <c r="E921" s="216">
        <v>182</v>
      </c>
      <c r="F921" s="740">
        <v>94</v>
      </c>
      <c r="G921" s="740">
        <v>67</v>
      </c>
      <c r="H921" s="741">
        <v>161</v>
      </c>
    </row>
    <row r="922" spans="2:8">
      <c r="B922" s="277" t="s">
        <v>1584</v>
      </c>
      <c r="C922" s="46">
        <v>110</v>
      </c>
      <c r="D922" s="46">
        <v>106</v>
      </c>
      <c r="E922" s="216">
        <v>216</v>
      </c>
      <c r="F922" s="740">
        <v>109</v>
      </c>
      <c r="G922" s="740">
        <v>109</v>
      </c>
      <c r="H922" s="741">
        <v>218</v>
      </c>
    </row>
    <row r="923" spans="2:8">
      <c r="B923" s="277" t="s">
        <v>1585</v>
      </c>
      <c r="C923" s="46">
        <v>148</v>
      </c>
      <c r="D923" s="46">
        <v>171</v>
      </c>
      <c r="E923" s="216">
        <v>319</v>
      </c>
      <c r="F923" s="740">
        <v>121</v>
      </c>
      <c r="G923" s="740">
        <v>182</v>
      </c>
      <c r="H923" s="741">
        <v>303</v>
      </c>
    </row>
    <row r="924" spans="2:8">
      <c r="B924" s="277" t="s">
        <v>1586</v>
      </c>
      <c r="C924" s="46">
        <v>78</v>
      </c>
      <c r="D924" s="46">
        <v>76</v>
      </c>
      <c r="E924" s="216">
        <v>154</v>
      </c>
      <c r="F924" s="740">
        <v>77</v>
      </c>
      <c r="G924" s="740">
        <v>83</v>
      </c>
      <c r="H924" s="741">
        <v>160</v>
      </c>
    </row>
    <row r="925" spans="2:8">
      <c r="B925" s="277" t="s">
        <v>1587</v>
      </c>
      <c r="C925" s="46">
        <v>67</v>
      </c>
      <c r="D925" s="46">
        <v>70</v>
      </c>
      <c r="E925" s="216">
        <v>137</v>
      </c>
      <c r="F925" s="740">
        <v>72</v>
      </c>
      <c r="G925" s="740">
        <v>69</v>
      </c>
      <c r="H925" s="741">
        <v>141</v>
      </c>
    </row>
    <row r="926" spans="2:8">
      <c r="B926" s="277" t="s">
        <v>1588</v>
      </c>
      <c r="C926" s="46">
        <v>86</v>
      </c>
      <c r="D926" s="46">
        <v>91</v>
      </c>
      <c r="E926" s="216">
        <v>177</v>
      </c>
      <c r="F926" s="740">
        <v>69</v>
      </c>
      <c r="G926" s="740">
        <v>83</v>
      </c>
      <c r="H926" s="741">
        <v>152</v>
      </c>
    </row>
    <row r="927" spans="2:8">
      <c r="B927" s="308" t="s">
        <v>1589</v>
      </c>
      <c r="C927" s="312">
        <v>687</v>
      </c>
      <c r="D927" s="312">
        <v>761</v>
      </c>
      <c r="E927" s="313">
        <v>1448</v>
      </c>
      <c r="F927" s="742">
        <v>675</v>
      </c>
      <c r="G927" s="742">
        <v>728</v>
      </c>
      <c r="H927" s="743">
        <v>1403</v>
      </c>
    </row>
    <row r="928" spans="2:8">
      <c r="B928" s="277" t="s">
        <v>1590</v>
      </c>
      <c r="C928" s="46">
        <v>193</v>
      </c>
      <c r="D928" s="46">
        <v>196</v>
      </c>
      <c r="E928" s="216">
        <v>389</v>
      </c>
      <c r="F928" s="740">
        <v>167</v>
      </c>
      <c r="G928" s="740">
        <v>166</v>
      </c>
      <c r="H928" s="741">
        <v>333</v>
      </c>
    </row>
    <row r="929" spans="2:8">
      <c r="B929" s="277" t="s">
        <v>1591</v>
      </c>
      <c r="C929" s="46">
        <v>145</v>
      </c>
      <c r="D929" s="46">
        <v>93</v>
      </c>
      <c r="E929" s="216">
        <v>238</v>
      </c>
      <c r="F929" s="740">
        <v>144</v>
      </c>
      <c r="G929" s="740">
        <v>82</v>
      </c>
      <c r="H929" s="741">
        <v>226</v>
      </c>
    </row>
    <row r="930" spans="2:8">
      <c r="B930" s="277" t="s">
        <v>1592</v>
      </c>
      <c r="C930" s="46">
        <v>99</v>
      </c>
      <c r="D930" s="46">
        <v>61</v>
      </c>
      <c r="E930" s="216">
        <v>160</v>
      </c>
      <c r="F930" s="740">
        <v>101</v>
      </c>
      <c r="G930" s="740">
        <v>69</v>
      </c>
      <c r="H930" s="741">
        <v>170</v>
      </c>
    </row>
    <row r="931" spans="2:8">
      <c r="B931" s="277" t="s">
        <v>1593</v>
      </c>
      <c r="C931" s="46">
        <v>267</v>
      </c>
      <c r="D931" s="46">
        <v>121</v>
      </c>
      <c r="E931" s="216">
        <v>388</v>
      </c>
      <c r="F931" s="740">
        <v>253</v>
      </c>
      <c r="G931" s="740">
        <v>127</v>
      </c>
      <c r="H931" s="741">
        <v>380</v>
      </c>
    </row>
    <row r="932" spans="2:8">
      <c r="B932" s="277" t="s">
        <v>1594</v>
      </c>
      <c r="C932" s="46">
        <v>139</v>
      </c>
      <c r="D932" s="46">
        <v>78</v>
      </c>
      <c r="E932" s="216">
        <v>217</v>
      </c>
      <c r="F932" s="740">
        <v>187</v>
      </c>
      <c r="G932" s="740">
        <v>86</v>
      </c>
      <c r="H932" s="741">
        <v>273</v>
      </c>
    </row>
    <row r="933" spans="2:8">
      <c r="B933" s="277" t="s">
        <v>1595</v>
      </c>
      <c r="C933" s="46">
        <v>179</v>
      </c>
      <c r="D933" s="46">
        <v>70</v>
      </c>
      <c r="E933" s="216">
        <v>249</v>
      </c>
      <c r="F933" s="740">
        <v>179</v>
      </c>
      <c r="G933" s="740">
        <v>70</v>
      </c>
      <c r="H933" s="741">
        <v>249</v>
      </c>
    </row>
    <row r="934" spans="2:8">
      <c r="B934" s="277" t="s">
        <v>1596</v>
      </c>
      <c r="C934" s="46">
        <v>213</v>
      </c>
      <c r="D934" s="46">
        <v>70</v>
      </c>
      <c r="E934" s="216">
        <v>283</v>
      </c>
      <c r="F934" s="740">
        <v>243</v>
      </c>
      <c r="G934" s="740">
        <v>69</v>
      </c>
      <c r="H934" s="741">
        <v>312</v>
      </c>
    </row>
    <row r="935" spans="2:8">
      <c r="B935" s="308" t="s">
        <v>1597</v>
      </c>
      <c r="C935" s="313">
        <v>1235</v>
      </c>
      <c r="D935" s="312">
        <v>689</v>
      </c>
      <c r="E935" s="313">
        <v>1924</v>
      </c>
      <c r="F935" s="743">
        <v>1274</v>
      </c>
      <c r="G935" s="742">
        <v>669</v>
      </c>
      <c r="H935" s="743">
        <v>1943</v>
      </c>
    </row>
    <row r="936" spans="2:8">
      <c r="B936" s="277" t="s">
        <v>1598</v>
      </c>
      <c r="C936" s="46">
        <v>120</v>
      </c>
      <c r="D936" s="46">
        <v>80</v>
      </c>
      <c r="E936" s="216">
        <v>200</v>
      </c>
      <c r="F936" s="740">
        <v>108</v>
      </c>
      <c r="G936" s="740">
        <v>66</v>
      </c>
      <c r="H936" s="741">
        <v>174</v>
      </c>
    </row>
    <row r="937" spans="2:8">
      <c r="B937" s="277" t="s">
        <v>1599</v>
      </c>
      <c r="C937" s="46">
        <v>134</v>
      </c>
      <c r="D937" s="46">
        <v>98</v>
      </c>
      <c r="E937" s="216">
        <v>232</v>
      </c>
      <c r="F937" s="740">
        <v>146</v>
      </c>
      <c r="G937" s="740">
        <v>86</v>
      </c>
      <c r="H937" s="741">
        <v>232</v>
      </c>
    </row>
    <row r="938" spans="2:8">
      <c r="B938" s="277" t="s">
        <v>1600</v>
      </c>
      <c r="C938" s="46">
        <v>38</v>
      </c>
      <c r="D938" s="46">
        <v>39</v>
      </c>
      <c r="E938" s="216">
        <v>77</v>
      </c>
      <c r="F938" s="740">
        <v>38</v>
      </c>
      <c r="G938" s="740">
        <v>39</v>
      </c>
      <c r="H938" s="741">
        <v>77</v>
      </c>
    </row>
    <row r="939" spans="2:8">
      <c r="B939" s="277" t="s">
        <v>1601</v>
      </c>
      <c r="C939" s="46">
        <v>78</v>
      </c>
      <c r="D939" s="46">
        <v>33</v>
      </c>
      <c r="E939" s="216">
        <v>111</v>
      </c>
      <c r="F939" s="740">
        <v>75</v>
      </c>
      <c r="G939" s="740">
        <v>36</v>
      </c>
      <c r="H939" s="741">
        <v>111</v>
      </c>
    </row>
    <row r="940" spans="2:8">
      <c r="B940" s="277" t="s">
        <v>1602</v>
      </c>
      <c r="C940" s="46">
        <v>43</v>
      </c>
      <c r="D940" s="46">
        <v>58</v>
      </c>
      <c r="E940" s="216">
        <v>101</v>
      </c>
      <c r="F940" s="740">
        <v>61</v>
      </c>
      <c r="G940" s="740">
        <v>60</v>
      </c>
      <c r="H940" s="741">
        <v>121</v>
      </c>
    </row>
    <row r="941" spans="2:8">
      <c r="B941" s="277" t="s">
        <v>1603</v>
      </c>
      <c r="C941" s="46">
        <v>127</v>
      </c>
      <c r="D941" s="46">
        <v>89</v>
      </c>
      <c r="E941" s="216">
        <v>216</v>
      </c>
      <c r="F941" s="740">
        <v>138</v>
      </c>
      <c r="G941" s="740">
        <v>67</v>
      </c>
      <c r="H941" s="741">
        <v>205</v>
      </c>
    </row>
    <row r="942" spans="2:8">
      <c r="B942" s="277" t="s">
        <v>1604</v>
      </c>
      <c r="C942" s="46">
        <v>87</v>
      </c>
      <c r="D942" s="46">
        <v>82</v>
      </c>
      <c r="E942" s="216">
        <v>169</v>
      </c>
      <c r="F942" s="740">
        <v>83</v>
      </c>
      <c r="G942" s="740">
        <v>82</v>
      </c>
      <c r="H942" s="741">
        <v>165</v>
      </c>
    </row>
    <row r="943" spans="2:8">
      <c r="B943" s="308" t="s">
        <v>1605</v>
      </c>
      <c r="C943" s="312">
        <v>627</v>
      </c>
      <c r="D943" s="312">
        <v>479</v>
      </c>
      <c r="E943" s="313">
        <v>1106</v>
      </c>
      <c r="F943" s="742">
        <v>649</v>
      </c>
      <c r="G943" s="742">
        <v>436</v>
      </c>
      <c r="H943" s="743">
        <v>1085</v>
      </c>
    </row>
    <row r="944" spans="2:8">
      <c r="B944" s="277" t="s">
        <v>1606</v>
      </c>
      <c r="C944" s="303">
        <v>287</v>
      </c>
      <c r="D944" s="303">
        <v>49</v>
      </c>
      <c r="E944" s="216">
        <v>336</v>
      </c>
      <c r="F944" s="737">
        <v>153</v>
      </c>
      <c r="G944" s="737">
        <v>38</v>
      </c>
      <c r="H944" s="741">
        <v>191</v>
      </c>
    </row>
    <row r="945" spans="2:8">
      <c r="B945" s="277" t="s">
        <v>1607</v>
      </c>
      <c r="C945" s="303">
        <v>219</v>
      </c>
      <c r="D945" s="303">
        <v>148</v>
      </c>
      <c r="E945" s="216">
        <v>367</v>
      </c>
      <c r="F945" s="737">
        <v>197</v>
      </c>
      <c r="G945" s="737">
        <v>133</v>
      </c>
      <c r="H945" s="741">
        <v>330</v>
      </c>
    </row>
    <row r="946" spans="2:8">
      <c r="B946" s="277" t="s">
        <v>1608</v>
      </c>
      <c r="C946" s="303">
        <v>252</v>
      </c>
      <c r="D946" s="303">
        <v>84</v>
      </c>
      <c r="E946" s="216">
        <v>336</v>
      </c>
      <c r="F946" s="737">
        <v>233</v>
      </c>
      <c r="G946" s="737">
        <v>94</v>
      </c>
      <c r="H946" s="741">
        <v>327</v>
      </c>
    </row>
    <row r="947" spans="2:8">
      <c r="B947" s="277" t="s">
        <v>1609</v>
      </c>
      <c r="C947" s="303">
        <v>83</v>
      </c>
      <c r="D947" s="303">
        <v>102</v>
      </c>
      <c r="E947" s="216">
        <v>185</v>
      </c>
      <c r="F947" s="737">
        <v>92</v>
      </c>
      <c r="G947" s="737">
        <v>78</v>
      </c>
      <c r="H947" s="741">
        <v>170</v>
      </c>
    </row>
    <row r="948" spans="2:8">
      <c r="B948" s="277" t="s">
        <v>1610</v>
      </c>
      <c r="C948" s="303">
        <v>90</v>
      </c>
      <c r="D948" s="303">
        <v>82</v>
      </c>
      <c r="E948" s="216">
        <v>172</v>
      </c>
      <c r="F948" s="737">
        <v>82</v>
      </c>
      <c r="G948" s="737">
        <v>98</v>
      </c>
      <c r="H948" s="741">
        <v>180</v>
      </c>
    </row>
    <row r="949" spans="2:8">
      <c r="B949" s="308" t="s">
        <v>1611</v>
      </c>
      <c r="C949" s="304">
        <v>931</v>
      </c>
      <c r="D949" s="304">
        <v>465</v>
      </c>
      <c r="E949" s="302">
        <v>1396</v>
      </c>
      <c r="F949" s="738">
        <v>757</v>
      </c>
      <c r="G949" s="738">
        <v>441</v>
      </c>
      <c r="H949" s="739">
        <v>1198</v>
      </c>
    </row>
    <row r="950" spans="2:8">
      <c r="B950" s="277" t="s">
        <v>1612</v>
      </c>
      <c r="C950" s="303">
        <v>30</v>
      </c>
      <c r="D950" s="303">
        <v>41</v>
      </c>
      <c r="E950" s="216">
        <v>71</v>
      </c>
      <c r="F950" s="737">
        <v>23</v>
      </c>
      <c r="G950" s="737">
        <v>43</v>
      </c>
      <c r="H950" s="741">
        <v>66</v>
      </c>
    </row>
    <row r="951" spans="2:8">
      <c r="B951" s="277" t="s">
        <v>1613</v>
      </c>
      <c r="C951" s="303">
        <v>32</v>
      </c>
      <c r="D951" s="303">
        <v>34</v>
      </c>
      <c r="E951" s="216">
        <v>66</v>
      </c>
      <c r="F951" s="737">
        <v>26</v>
      </c>
      <c r="G951" s="737">
        <v>37</v>
      </c>
      <c r="H951" s="741">
        <v>63</v>
      </c>
    </row>
    <row r="952" spans="2:8">
      <c r="B952" s="277" t="s">
        <v>1614</v>
      </c>
      <c r="C952" s="303">
        <v>26</v>
      </c>
      <c r="D952" s="303">
        <v>46</v>
      </c>
      <c r="E952" s="216">
        <v>72</v>
      </c>
      <c r="F952" s="737">
        <v>18</v>
      </c>
      <c r="G952" s="737">
        <v>41</v>
      </c>
      <c r="H952" s="741">
        <v>59</v>
      </c>
    </row>
    <row r="953" spans="2:8">
      <c r="B953" s="308" t="s">
        <v>1615</v>
      </c>
      <c r="C953" s="304">
        <v>88</v>
      </c>
      <c r="D953" s="304">
        <v>121</v>
      </c>
      <c r="E953" s="304">
        <v>209</v>
      </c>
      <c r="F953" s="738">
        <v>67</v>
      </c>
      <c r="G953" s="738">
        <v>121</v>
      </c>
      <c r="H953" s="738">
        <v>188</v>
      </c>
    </row>
    <row r="954" spans="2:8">
      <c r="B954" s="276" t="s">
        <v>1534</v>
      </c>
      <c r="C954" s="311">
        <v>3568</v>
      </c>
      <c r="D954" s="311">
        <v>2515</v>
      </c>
      <c r="E954" s="311">
        <v>6083</v>
      </c>
      <c r="F954" s="744">
        <v>3422</v>
      </c>
      <c r="G954" s="744">
        <v>2395</v>
      </c>
      <c r="H954" s="744">
        <v>5817</v>
      </c>
    </row>
    <row r="955" spans="2:8">
      <c r="B955" s="81" t="s">
        <v>265</v>
      </c>
    </row>
  </sheetData>
  <mergeCells count="63">
    <mergeCell ref="F753:H753"/>
    <mergeCell ref="F794:H794"/>
    <mergeCell ref="B670:B672"/>
    <mergeCell ref="B673:B675"/>
    <mergeCell ref="B676:B678"/>
    <mergeCell ref="B683:B685"/>
    <mergeCell ref="B686:B688"/>
    <mergeCell ref="B689:B691"/>
    <mergeCell ref="B692:B694"/>
    <mergeCell ref="C753:E753"/>
    <mergeCell ref="C794:E794"/>
    <mergeCell ref="B704:B706"/>
    <mergeCell ref="B707:B709"/>
    <mergeCell ref="B716:B718"/>
    <mergeCell ref="B723:B725"/>
    <mergeCell ref="C835:E835"/>
    <mergeCell ref="B735:B737"/>
    <mergeCell ref="B738:B740"/>
    <mergeCell ref="B741:B743"/>
    <mergeCell ref="B726:B728"/>
    <mergeCell ref="B729:B731"/>
    <mergeCell ref="B732:B734"/>
    <mergeCell ref="B744:B746"/>
    <mergeCell ref="B794:B795"/>
    <mergeCell ref="B835:B836"/>
    <mergeCell ref="F835:H835"/>
    <mergeCell ref="F917:H917"/>
    <mergeCell ref="B405:B406"/>
    <mergeCell ref="B528:B529"/>
    <mergeCell ref="C876:E876"/>
    <mergeCell ref="C917:E917"/>
    <mergeCell ref="B695:B697"/>
    <mergeCell ref="B698:B700"/>
    <mergeCell ref="B701:B703"/>
    <mergeCell ref="B917:B918"/>
    <mergeCell ref="F876:H876"/>
    <mergeCell ref="B753:B754"/>
    <mergeCell ref="B876:B877"/>
    <mergeCell ref="B747:B749"/>
    <mergeCell ref="B710:B712"/>
    <mergeCell ref="B713:B715"/>
    <mergeCell ref="F528:H528"/>
    <mergeCell ref="B569:B570"/>
    <mergeCell ref="C569:E569"/>
    <mergeCell ref="B667:B669"/>
    <mergeCell ref="B610:B611"/>
    <mergeCell ref="F610:H610"/>
    <mergeCell ref="B652:B654"/>
    <mergeCell ref="C528:E528"/>
    <mergeCell ref="C610:E610"/>
    <mergeCell ref="B655:B657"/>
    <mergeCell ref="B658:B660"/>
    <mergeCell ref="B661:B663"/>
    <mergeCell ref="B664:B666"/>
    <mergeCell ref="F569:H569"/>
    <mergeCell ref="F405:H405"/>
    <mergeCell ref="B446:B447"/>
    <mergeCell ref="F446:H446"/>
    <mergeCell ref="B487:B488"/>
    <mergeCell ref="F487:H487"/>
    <mergeCell ref="C487:E487"/>
    <mergeCell ref="C405:E405"/>
    <mergeCell ref="C446:E446"/>
  </mergeCells>
  <conditionalFormatting sqref="F569 B569:C569 B570:H570 B571:E606">
    <cfRule type="cellIs" dxfId="2" priority="11" operator="lessThan">
      <formula>0</formula>
    </cfRule>
  </conditionalFormatting>
  <conditionalFormatting sqref="C571:E606">
    <cfRule type="cellIs" dxfId="1" priority="9" operator="lessThan">
      <formula>0</formula>
    </cfRule>
  </conditionalFormatting>
  <conditionalFormatting sqref="D206:D241"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112</vt:i4>
      </vt:variant>
    </vt:vector>
  </HeadingPairs>
  <TitlesOfParts>
    <vt:vector size="123" baseType="lpstr">
      <vt:lpstr>TABLE OF CONTENTS</vt:lpstr>
      <vt:lpstr>OVERVIEW</vt:lpstr>
      <vt:lpstr>SCHOOL INFRASTRUCTURE</vt:lpstr>
      <vt:lpstr>LEARNERS</vt:lpstr>
      <vt:lpstr>SCHOOL  STAFF</vt:lpstr>
      <vt:lpstr>ICT, SCIENCE AND TECHNOLOGY</vt:lpstr>
      <vt:lpstr>BOOKS AND TEXTBOOKS</vt:lpstr>
      <vt:lpstr>ENERGY,WATER, AND SANITATION</vt:lpstr>
      <vt:lpstr>SCHOOL NUTRITION</vt:lpstr>
      <vt:lpstr>SPECIAL NEEDS EDUCATION</vt:lpstr>
      <vt:lpstr>ANNEXES</vt:lpstr>
      <vt:lpstr>OVERVIEW!_ftn1</vt:lpstr>
      <vt:lpstr>OVERVIEW!_ftnref1</vt:lpstr>
      <vt:lpstr>LEARNERS!_Hlk135037178</vt:lpstr>
      <vt:lpstr>LEARNERS!_Hlk135910797</vt:lpstr>
      <vt:lpstr>LEARNERS!_Hlk136271606</vt:lpstr>
      <vt:lpstr>'SCHOOL NUTRITION'!_Hlk136526796</vt:lpstr>
      <vt:lpstr>OVERVIEW!_Toc135070642</vt:lpstr>
      <vt:lpstr>'SCHOOL INFRASTRUCTURE'!_Toc137742947</vt:lpstr>
      <vt:lpstr>'SCHOOL INFRASTRUCTURE'!_Toc137743006</vt:lpstr>
      <vt:lpstr>'SCHOOL INFRASTRUCTURE'!_Toc137743007</vt:lpstr>
      <vt:lpstr>'SCHOOL INFRASTRUCTURE'!_Toc137743008</vt:lpstr>
      <vt:lpstr>'SCHOOL INFRASTRUCTURE'!_Toc137743009</vt:lpstr>
      <vt:lpstr>'SCHOOL INFRASTRUCTURE'!_Toc137743010</vt:lpstr>
      <vt:lpstr>'SCHOOL INFRASTRUCTURE'!_Toc137743012</vt:lpstr>
      <vt:lpstr>'SCHOOL INFRASTRUCTURE'!_Toc137743014</vt:lpstr>
      <vt:lpstr>'SCHOOL INFRASTRUCTURE'!_Toc137743015</vt:lpstr>
      <vt:lpstr>'SCHOOL INFRASTRUCTURE'!_Toc137743016</vt:lpstr>
      <vt:lpstr>'SCHOOL INFRASTRUCTURE'!_Toc137743017</vt:lpstr>
      <vt:lpstr>'SCHOOL INFRASTRUCTURE'!_Toc137743018</vt:lpstr>
      <vt:lpstr>'SCHOOL INFRASTRUCTURE'!_Toc137743020</vt:lpstr>
      <vt:lpstr>'SCHOOL INFRASTRUCTURE'!_Toc137743022</vt:lpstr>
      <vt:lpstr>'SCHOOL INFRASTRUCTURE'!_Toc137743024</vt:lpstr>
      <vt:lpstr>'SCHOOL INFRASTRUCTURE'!_Toc137743025</vt:lpstr>
      <vt:lpstr>'SCHOOL INFRASTRUCTURE'!_Toc137743026</vt:lpstr>
      <vt:lpstr>'SCHOOL INFRASTRUCTURE'!_Toc137743028</vt:lpstr>
      <vt:lpstr>'SCHOOL INFRASTRUCTURE'!_Toc137743030</vt:lpstr>
      <vt:lpstr>'SCHOOL INFRASTRUCTURE'!_Toc137743032</vt:lpstr>
      <vt:lpstr>'SCHOOL INFRASTRUCTURE'!_Toc137743033</vt:lpstr>
      <vt:lpstr>LEARNERS!_Toc137743034</vt:lpstr>
      <vt:lpstr>LEARNERS!_Toc137743035</vt:lpstr>
      <vt:lpstr>LEARNERS!_Toc137743036</vt:lpstr>
      <vt:lpstr>LEARNERS!_Toc137743039</vt:lpstr>
      <vt:lpstr>LEARNERS!_Toc137743040</vt:lpstr>
      <vt:lpstr>LEARNERS!_Toc137743042</vt:lpstr>
      <vt:lpstr>LEARNERS!_Toc137743043</vt:lpstr>
      <vt:lpstr>LEARNERS!_Toc137743045</vt:lpstr>
      <vt:lpstr>LEARNERS!_Toc137743046</vt:lpstr>
      <vt:lpstr>LEARNERS!_Toc137743047</vt:lpstr>
      <vt:lpstr>LEARNERS!_Toc137743048</vt:lpstr>
      <vt:lpstr>LEARNERS!_Toc137743049</vt:lpstr>
      <vt:lpstr>LEARNERS!_Toc137743050</vt:lpstr>
      <vt:lpstr>LEARNERS!_Toc137743052</vt:lpstr>
      <vt:lpstr>LEARNERS!_Toc137743055</vt:lpstr>
      <vt:lpstr>LEARNERS!_Toc137743056</vt:lpstr>
      <vt:lpstr>LEARNERS!_Toc137743058</vt:lpstr>
      <vt:lpstr>LEARNERS!_Toc137743059</vt:lpstr>
      <vt:lpstr>LEARNERS!_Toc137743063</vt:lpstr>
      <vt:lpstr>LEARNERS!_Toc137743064</vt:lpstr>
      <vt:lpstr>LEARNERS!_Toc137743066</vt:lpstr>
      <vt:lpstr>LEARNERS!_Toc137743073</vt:lpstr>
      <vt:lpstr>LEARNERS!_Toc137743074</vt:lpstr>
      <vt:lpstr>LEARNERS!_Toc137743090</vt:lpstr>
      <vt:lpstr>LEARNERS!_Toc137743092</vt:lpstr>
      <vt:lpstr>LEARNERS!_Toc137743094</vt:lpstr>
      <vt:lpstr>LEARNERS!_Toc137743095</vt:lpstr>
      <vt:lpstr>LEARNERS!_Toc137743096</vt:lpstr>
      <vt:lpstr>LEARNERS!_Toc137743098</vt:lpstr>
      <vt:lpstr>LEARNERS!_Toc137743099</vt:lpstr>
      <vt:lpstr>LEARNERS!_Toc137743100</vt:lpstr>
      <vt:lpstr>LEARNERS!_Toc137743102</vt:lpstr>
      <vt:lpstr>LEARNERS!_Toc137743105</vt:lpstr>
      <vt:lpstr>LEARNERS!_Toc137743108</vt:lpstr>
      <vt:lpstr>'SCHOOL  STAFF'!_Toc137743114</vt:lpstr>
      <vt:lpstr>'SCHOOL  STAFF'!_Toc137743115</vt:lpstr>
      <vt:lpstr>'SCHOOL  STAFF'!_Toc137743116</vt:lpstr>
      <vt:lpstr>'SCHOOL  STAFF'!_Toc137743117</vt:lpstr>
      <vt:lpstr>'SCHOOL  STAFF'!_Toc137743118</vt:lpstr>
      <vt:lpstr>'SCHOOL  STAFF'!_Toc137743119</vt:lpstr>
      <vt:lpstr>'SCHOOL  STAFF'!_Toc137743120</vt:lpstr>
      <vt:lpstr>'SCHOOL  STAFF'!_Toc137743121</vt:lpstr>
      <vt:lpstr>'SCHOOL  STAFF'!_Toc137743122</vt:lpstr>
      <vt:lpstr>'SCHOOL  STAFF'!_Toc137743128</vt:lpstr>
      <vt:lpstr>'SCHOOL  STAFF'!_Toc137743129</vt:lpstr>
      <vt:lpstr>'SCHOOL  STAFF'!_Toc137743130</vt:lpstr>
      <vt:lpstr>'SCHOOL  STAFF'!_Toc137743131</vt:lpstr>
      <vt:lpstr>'SCHOOL  STAFF'!_Toc137743133</vt:lpstr>
      <vt:lpstr>'SCHOOL  STAFF'!_Toc137743134</vt:lpstr>
      <vt:lpstr>'SCHOOL  STAFF'!_Toc137743135</vt:lpstr>
      <vt:lpstr>'SCHOOL  STAFF'!_Toc137743136</vt:lpstr>
      <vt:lpstr>'SCHOOL  STAFF'!_Toc137743139</vt:lpstr>
      <vt:lpstr>'SCHOOL  STAFF'!_Toc137743141</vt:lpstr>
      <vt:lpstr>'SCHOOL  STAFF'!_Toc137743142</vt:lpstr>
      <vt:lpstr>'ICT, SCIENCE AND TECHNOLOGY'!_Toc137743143</vt:lpstr>
      <vt:lpstr>'ICT, SCIENCE AND TECHNOLOGY'!_Toc137743153</vt:lpstr>
      <vt:lpstr>'ICT, SCIENCE AND TECHNOLOGY'!_Toc137743154</vt:lpstr>
      <vt:lpstr>'BOOKS AND TEXTBOOKS'!_Toc137743160</vt:lpstr>
      <vt:lpstr>'BOOKS AND TEXTBOOKS'!_Toc137743161</vt:lpstr>
      <vt:lpstr>'ENERGY,WATER, AND SANITATION'!_Toc137743166</vt:lpstr>
      <vt:lpstr>'ENERGY,WATER, AND SANITATION'!_Toc137743169</vt:lpstr>
      <vt:lpstr>'ENERGY,WATER, AND SANITATION'!_Toc137743171</vt:lpstr>
      <vt:lpstr>'ENERGY,WATER, AND SANITATION'!_Toc137743172</vt:lpstr>
      <vt:lpstr>'SCHOOL NUTRITION'!_Toc137743173</vt:lpstr>
      <vt:lpstr>'SCHOOL NUTRITION'!_Toc137743174</vt:lpstr>
      <vt:lpstr>'SCHOOL NUTRITION'!_Toc137743176</vt:lpstr>
      <vt:lpstr>'SPECIAL NEEDS EDUCATION'!_Toc137743177</vt:lpstr>
      <vt:lpstr>'SPECIAL NEEDS EDUCATION'!_Toc137743178</vt:lpstr>
      <vt:lpstr>'SPECIAL NEEDS EDUCATION'!_Toc137743180</vt:lpstr>
      <vt:lpstr>'SPECIAL NEEDS EDUCATION'!_Toc137743186</vt:lpstr>
      <vt:lpstr>'SPECIAL NEEDS EDUCATION'!_Toc137743188</vt:lpstr>
      <vt:lpstr>'SPECIAL NEEDS EDUCATION'!_Toc137743190</vt:lpstr>
      <vt:lpstr>'SPECIAL NEEDS EDUCATION'!_Toc137743191</vt:lpstr>
      <vt:lpstr>ANNEXES!_Toc137743193</vt:lpstr>
      <vt:lpstr>ANNEXES!_Toc137743195</vt:lpstr>
      <vt:lpstr>ANNEXES!_Toc137743197</vt:lpstr>
      <vt:lpstr>ANNEXES!_Toc137743199</vt:lpstr>
      <vt:lpstr>ANNEXES!_Toc137743201</vt:lpstr>
      <vt:lpstr>ANNEXES!_Toc137743202</vt:lpstr>
      <vt:lpstr>ANNEXES!_Toc137743209</vt:lpstr>
      <vt:lpstr>ANNEXES!_Toc137743211</vt:lpstr>
      <vt:lpstr>ANNEXES!_Toc137743212</vt:lpstr>
      <vt:lpstr>ANNEXES!_Toc137743214</vt:lpstr>
      <vt:lpstr>ANNEXES!_Toc137743216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EMIS Specialist</dc:creator>
  <cp:keywords/>
  <dc:description/>
  <cp:lastModifiedBy>MINEDUC</cp:lastModifiedBy>
  <cp:revision/>
  <dcterms:created xsi:type="dcterms:W3CDTF">2015-06-05T18:17:20Z</dcterms:created>
  <dcterms:modified xsi:type="dcterms:W3CDTF">2024-05-22T12:48:37Z</dcterms:modified>
  <cp:category/>
  <cp:contentStatus/>
</cp:coreProperties>
</file>